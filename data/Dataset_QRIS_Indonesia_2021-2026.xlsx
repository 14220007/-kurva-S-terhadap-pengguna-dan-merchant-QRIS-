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erangan" sheetId="1" state="visible" r:id="rId1"/>
    <sheet xmlns:r="http://schemas.openxmlformats.org/officeDocument/2006/relationships" name="Pengguna_Merchant" sheetId="2" state="visible" r:id="rId2"/>
    <sheet xmlns:r="http://schemas.openxmlformats.org/officeDocument/2006/relationships" name="Transaksi" sheetId="3" state="visible" r:id="rId3"/>
    <sheet xmlns:r="http://schemas.openxmlformats.org/officeDocument/2006/relationships" name="Pertumbuhan_RDG" sheetId="4" state="visible" r:id="rId4"/>
    <sheet xmlns:r="http://schemas.openxmlformats.org/officeDocument/2006/relationships" name="Antarnega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vertical="center" wrapText="1"/>
    </xf>
    <xf numFmtId="2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nansial.bisnis.com/read/20230224/90/1631430/cuan-bri-bbri-catatkan-nilai-transaksi-qris-rp74-triliun-sepanjang-2022" TargetMode="External" Id="rId1"/><Relationship Type="http://schemas.openxmlformats.org/officeDocument/2006/relationships/hyperlink" Target="https://www.fortuneidn.com/finance/transaksi-digital-meningkat-bi-bidik-pengguna-qris-capai-26-juta-00-ccw2k-hclm40" TargetMode="External" Id="rId2"/><Relationship Type="http://schemas.openxmlformats.org/officeDocument/2006/relationships/hyperlink" Target="https://keuangan.kontan.co.id/news/makin-diminati-transaksi-qris-capai-rp-297-triliun-hingga-september-2022" TargetMode="External" Id="rId3"/><Relationship Type="http://schemas.openxmlformats.org/officeDocument/2006/relationships/hyperlink" Target="https://finansial.bisnis.com/read/20230224/90/1631430/cuan-bri-bbri-catatkan-nilai-transaksi-qris-rp74-triliun-sepanjang-2022" TargetMode="External" Id="rId4"/><Relationship Type="http://schemas.openxmlformats.org/officeDocument/2006/relationships/hyperlink" Target="https://www.bi.go.id/id/publikasi/ruang-media/news-release/Pages/sp_259323.aspx" TargetMode="External" Id="rId5"/><Relationship Type="http://schemas.openxmlformats.org/officeDocument/2006/relationships/hyperlink" Target="https://www.bi.go.id/en/publikasi/ruang-media/news-release/Pages/sp_2516523.aspx" TargetMode="External" Id="rId6"/><Relationship Type="http://schemas.openxmlformats.org/officeDocument/2006/relationships/hyperlink" Target="https://www.bi.go.id/id/publikasi/ruang-media/news-release/Pages/sp_2521123.aspx" TargetMode="External" Id="rId7"/><Relationship Type="http://schemas.openxmlformats.org/officeDocument/2006/relationships/hyperlink" Target="https://www.bi.go.id/id/publikasi/ruang-media/news-release/Pages/sp_2523323.aspx" TargetMode="External" Id="rId8"/><Relationship Type="http://schemas.openxmlformats.org/officeDocument/2006/relationships/hyperlink" Target="https://www.bi.go.id/en/publikasi/ruang-media/news-release/Pages/sp_2525923.aspx" TargetMode="External" Id="rId9"/><Relationship Type="http://schemas.openxmlformats.org/officeDocument/2006/relationships/hyperlink" Target="https://www.bi.go.id/id/publikasi/ruang-media/news-release/Pages/sp_2528323.aspx" TargetMode="External" Id="rId10"/><Relationship Type="http://schemas.openxmlformats.org/officeDocument/2006/relationships/hyperlink" Target="https://www.bi.go.id/en/publikasi/ruang-media/news-release/Pages/sp_2531723.aspx" TargetMode="External" Id="rId11"/><Relationship Type="http://schemas.openxmlformats.org/officeDocument/2006/relationships/hyperlink" Target="https://www.bi.go.id/id/publikasi/ruang-media/news-release/Pages/sp_2534223.aspx" TargetMode="External" Id="rId12"/><Relationship Type="http://schemas.openxmlformats.org/officeDocument/2006/relationships/hyperlink" Target="https://www.bi.go.id/id/publikasi/ruang-media/news-release/Pages/sp_260924.aspx" TargetMode="External" Id="rId13"/><Relationship Type="http://schemas.openxmlformats.org/officeDocument/2006/relationships/hyperlink" Target="https://www.bi.go.id/id/publikasi/ruang-media/news-release/Pages/sp_263324.aspx" TargetMode="External" Id="rId14"/><Relationship Type="http://schemas.openxmlformats.org/officeDocument/2006/relationships/hyperlink" Target="https://www.bi.go.id/id/publikasi/ruang-media/news-release/Pages/sp_265424.aspx" TargetMode="External" Id="rId15"/><Relationship Type="http://schemas.openxmlformats.org/officeDocument/2006/relationships/hyperlink" Target="https://www.bi.go.id/id/publikasi/ruang-media/news-release/Pages/sp_268024.aspx" TargetMode="External" Id="rId16"/><Relationship Type="http://schemas.openxmlformats.org/officeDocument/2006/relationships/hyperlink" Target="https://www.bi.go.id/id/publikasi/ruang-media/news-release/Pages/sp_2610824.aspx" TargetMode="External" Id="rId17"/><Relationship Type="http://schemas.openxmlformats.org/officeDocument/2006/relationships/hyperlink" Target="https://www.bi.go.id/en/publikasi/ruang-media/news-release/Pages/sp_2612524.aspx" TargetMode="External" Id="rId18"/><Relationship Type="http://schemas.openxmlformats.org/officeDocument/2006/relationships/hyperlink" Target="https://www.bi.go.id/en/publikasi/ruang-media/news-release/Pages/sp_2614424.aspx" TargetMode="External" Id="rId19"/><Relationship Type="http://schemas.openxmlformats.org/officeDocument/2006/relationships/hyperlink" Target="https://www.bi.go.id/id/publikasi/ruang-media/news-release/Pages/sp_2620124.aspx" TargetMode="External" Id="rId20"/><Relationship Type="http://schemas.openxmlformats.org/officeDocument/2006/relationships/hyperlink" Target="https://www.bi.go.id/id/publikasi/ruang-media/news-release/Pages/sp_2622524.aspx" TargetMode="External" Id="rId21"/><Relationship Type="http://schemas.openxmlformats.org/officeDocument/2006/relationships/hyperlink" Target="https://www.bi.go.id/id/publikasi/ruang-media/news-release/Pages/sp_2625424.aspx" TargetMode="External" Id="rId22"/><Relationship Type="http://schemas.openxmlformats.org/officeDocument/2006/relationships/hyperlink" Target="https://www.bi.go.id/en/publikasi/ruang-media/news-release/Pages/sp_2627524.aspx" TargetMode="External" Id="rId23"/><Relationship Type="http://schemas.openxmlformats.org/officeDocument/2006/relationships/hyperlink" Target="https://finance.detik.com/foto-bisnis/d-7889441/mantap-qris-tembus-56-juta-pengguna?zoom=1" TargetMode="External" Id="rId24"/><Relationship Type="http://schemas.openxmlformats.org/officeDocument/2006/relationships/hyperlink" Target="https://www.bi.go.id/id/publikasi/ruang-media/news-release/Pages/sp_2717025.aspx" TargetMode="External" Id="rId25"/><Relationship Type="http://schemas.openxmlformats.org/officeDocument/2006/relationships/hyperlink" Target="https://investortrust.id/financial/85155/tumbuh-158-transaksi-qris-tembus-10-33-miliar-per-september-2025" TargetMode="External" Id="rId26"/><Relationship Type="http://schemas.openxmlformats.org/officeDocument/2006/relationships/hyperlink" Target="https://ekonomi.bisnis.com/read/20251218/9/1937730/transaksi-qris-2-kali-lipat-dari-target-ekonomi-ri-cerah" TargetMode="External" Id="rId27"/><Relationship Type="http://schemas.openxmlformats.org/officeDocument/2006/relationships/hyperlink" Target="https://keuangan.kontan.co.id/news/bi-mencatat-nilai-transaksi-qris-capai-rp-16448-triliun-pada-januari-2026" TargetMode="External" Id="rId28"/><Relationship Type="http://schemas.openxmlformats.org/officeDocument/2006/relationships/hyperlink" Target="https://keuangan.kontan.co.id/news/qris-cross-border-kian-diminati-transaksi-tumbuh-pesat" TargetMode="External" Id="rId29"/><Relationship Type="http://schemas.openxmlformats.org/officeDocument/2006/relationships/hyperlink" Target="https://www.bi.go.id/id/publikasi/ruang-media/news-release/Pages/sp_2815926.aspx" TargetMode="External" Id="rId30"/><Relationship Type="http://schemas.openxmlformats.org/officeDocument/2006/relationships/hyperlink" Target="https://www.bi.go.id/id/publikasi/ruang-media/news-release/Pages/sp_2819126.aspx" TargetMode="External" Id="rId31"/><Relationship Type="http://schemas.openxmlformats.org/officeDocument/2006/relationships/hyperlink" Target="https://www.bi.go.id/id/publikasi/ruang-media/news-release/Pages/sp_2819626.aspx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ri.co.id/keuangan/1459019/pengguna-qris-makin-banyak-transaksi-capai-rp659-triliun" TargetMode="External" Id="rId1"/><Relationship Type="http://schemas.openxmlformats.org/officeDocument/2006/relationships/hyperlink" Target="https://www.rri.co.id/keuangan/1459019/pengguna-qris-makin-banyak-transaksi-capai-rp659-triliun" TargetMode="External" Id="rId2"/><Relationship Type="http://schemas.openxmlformats.org/officeDocument/2006/relationships/hyperlink" Target="https://www.rri.co.id/keuangan/1459019/pengguna-qris-makin-banyak-transaksi-capai-rp659-triliun" TargetMode="External" Id="rId3"/><Relationship Type="http://schemas.openxmlformats.org/officeDocument/2006/relationships/hyperlink" Target="https://www.rri.co.id/keuangan/1459019/pengguna-qris-makin-banyak-transaksi-capai-rp659-triliun" TargetMode="External" Id="rId4"/><Relationship Type="http://schemas.openxmlformats.org/officeDocument/2006/relationships/hyperlink" Target="https://www.rri.co.id/keuangan/1459019/pengguna-qris-makin-banyak-transaksi-capai-rp659-triliun" TargetMode="External" Id="rId5"/><Relationship Type="http://schemas.openxmlformats.org/officeDocument/2006/relationships/hyperlink" Target="https://keuangan.kontan.co.id/news/bi-mencatat-nilai-transaksi-qris-capai-rp-16448-triliun-pada-januari-2026" TargetMode="External" Id="rId6"/><Relationship Type="http://schemas.openxmlformats.org/officeDocument/2006/relationships/hyperlink" Target="https://www.bi.go.id/id/publikasi/ruang-media/news-release/Pages/sp_2717025.aspx" TargetMode="External" Id="rId7"/><Relationship Type="http://schemas.openxmlformats.org/officeDocument/2006/relationships/hyperlink" Target="https://www.bi.go.id/id/publikasi/ruang-media/news-release/Pages/sp_2815926.aspx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i.go.id/id/publikasi/ruang-media/news-release/Pages/sp_2523323.aspx" TargetMode="External" Id="rId1"/><Relationship Type="http://schemas.openxmlformats.org/officeDocument/2006/relationships/hyperlink" Target="https://www.bi.go.id/en/publikasi/ruang-media/news-release/Pages/sp_2525923.aspx" TargetMode="External" Id="rId2"/><Relationship Type="http://schemas.openxmlformats.org/officeDocument/2006/relationships/hyperlink" Target="https://www.bi.go.id/id/publikasi/ruang-media/news-release/Pages/sp_2528323.aspx" TargetMode="External" Id="rId3"/><Relationship Type="http://schemas.openxmlformats.org/officeDocument/2006/relationships/hyperlink" Target="https://www.bi.go.id/en/publikasi/ruang-media/news-release/Pages/sp_2531723.aspx" TargetMode="External" Id="rId4"/><Relationship Type="http://schemas.openxmlformats.org/officeDocument/2006/relationships/hyperlink" Target="https://www.bi.go.id/id/publikasi/ruang-media/news-release/Pages/sp_2534223.aspx" TargetMode="External" Id="rId5"/><Relationship Type="http://schemas.openxmlformats.org/officeDocument/2006/relationships/hyperlink" Target="https://www.bi.go.id/id/publikasi/ruang-media/news-release/Pages/sp_260924.aspx" TargetMode="External" Id="rId6"/><Relationship Type="http://schemas.openxmlformats.org/officeDocument/2006/relationships/hyperlink" Target="https://www.bi.go.id/id/publikasi/ruang-media/news-release/Pages/sp_263324.aspx" TargetMode="External" Id="rId7"/><Relationship Type="http://schemas.openxmlformats.org/officeDocument/2006/relationships/hyperlink" Target="https://www.bi.go.id/id/publikasi/ruang-media/news-release/Pages/sp_265424.aspx" TargetMode="External" Id="rId8"/><Relationship Type="http://schemas.openxmlformats.org/officeDocument/2006/relationships/hyperlink" Target="https://www.bi.go.id/id/publikasi/ruang-media/news-release/Pages/sp_268024.aspx" TargetMode="External" Id="rId9"/><Relationship Type="http://schemas.openxmlformats.org/officeDocument/2006/relationships/hyperlink" Target="https://www.bi.go.id/id/publikasi/ruang-media/news-release/Pages/sp_2610824.aspx" TargetMode="External" Id="rId10"/><Relationship Type="http://schemas.openxmlformats.org/officeDocument/2006/relationships/hyperlink" Target="https://www.bi.go.id/en/publikasi/ruang-media/news-release/Pages/sp_2612524.aspx" TargetMode="External" Id="rId11"/><Relationship Type="http://schemas.openxmlformats.org/officeDocument/2006/relationships/hyperlink" Target="https://www.bi.go.id/en/publikasi/ruang-media/news-release/Pages/sp_2614424.aspx" TargetMode="External" Id="rId12"/><Relationship Type="http://schemas.openxmlformats.org/officeDocument/2006/relationships/hyperlink" Target="https://www.bi.go.id/id/publikasi/ruang-media/news-release/Pages/sp_2620124.aspx" TargetMode="External" Id="rId13"/><Relationship Type="http://schemas.openxmlformats.org/officeDocument/2006/relationships/hyperlink" Target="https://www.bi.go.id/id/publikasi/ruang-media/news-release/Pages/sp_2622524.aspx" TargetMode="External" Id="rId14"/><Relationship Type="http://schemas.openxmlformats.org/officeDocument/2006/relationships/hyperlink" Target="https://www.bi.go.id/id/publikasi/ruang-media/news-release/Pages/sp_2625424.aspx" TargetMode="External" Id="rId15"/><Relationship Type="http://schemas.openxmlformats.org/officeDocument/2006/relationships/hyperlink" Target="https://www.bi.go.id/en/publikasi/ruang-media/news-release/Pages/sp_2627524.aspx" TargetMode="External" Id="rId16"/><Relationship Type="http://schemas.openxmlformats.org/officeDocument/2006/relationships/hyperlink" Target="https://www.bi.go.id/id/publikasi/ruang-media/news-release/Pages/sp_270825.aspx" TargetMode="External" Id="rId17"/><Relationship Type="http://schemas.openxmlformats.org/officeDocument/2006/relationships/hyperlink" Target="https://www.bi.go.id/id/publikasi/ruang-media/news-release/Pages/sp_278425.aspx" TargetMode="External" Id="rId18"/><Relationship Type="http://schemas.openxmlformats.org/officeDocument/2006/relationships/hyperlink" Target="https://www.bi.go.id/id/publikasi/ruang-media/news-release/Pages/sp_2713325.aspx" TargetMode="External" Id="rId19"/><Relationship Type="http://schemas.openxmlformats.org/officeDocument/2006/relationships/hyperlink" Target="https://www.bi.go.id/id/publikasi/ruang-media/news-release/Pages/sp_2719425.aspx" TargetMode="External" Id="rId20"/><Relationship Type="http://schemas.openxmlformats.org/officeDocument/2006/relationships/hyperlink" Target="https://www.bi.go.id/id/publikasi/ruang-media/news-release/Pages/sp_2721925.aspx" TargetMode="External" Id="rId21"/><Relationship Type="http://schemas.openxmlformats.org/officeDocument/2006/relationships/hyperlink" Target="https://www.bi.go.id/id/publikasi/ruang-media/news-release/Pages/sp_2727425.aspx" TargetMode="External" Id="rId22"/><Relationship Type="http://schemas.openxmlformats.org/officeDocument/2006/relationships/hyperlink" Target="https://www.bi.go.id/id/publikasi/ruang-media/news-release/Pages/sp_2812626.aspx" TargetMode="External" Id="rId23"/><Relationship Type="http://schemas.openxmlformats.org/officeDocument/2006/relationships/hyperlink" Target="https://www.bi.go.id/en/publikasi/ruang-media/news-release/Pages/sp_2814226.aspx" TargetMode="External" Id="rId24"/><Relationship Type="http://schemas.openxmlformats.org/officeDocument/2006/relationships/hyperlink" Target="https://www.bi.go.id/id/publikasi/ruang-media/news-release/Pages/sp_2819326.aspx" TargetMode="External" Id="rId2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i.go.id/id/publikasi/ruang-media/news-release/Pages/sp_2719325.aspx" TargetMode="External" Id="rId1"/><Relationship Type="http://schemas.openxmlformats.org/officeDocument/2006/relationships/hyperlink" Target="https://www.bi.go.id/id/publikasi/ruang-media/news-release/Pages/sp_2719325.aspx" TargetMode="External" Id="rId2"/><Relationship Type="http://schemas.openxmlformats.org/officeDocument/2006/relationships/hyperlink" Target="https://www.bi.go.id/id/publikasi/ruang-media/news-release/Pages/sp_2719325.aspx" TargetMode="External" Id="rId3"/><Relationship Type="http://schemas.openxmlformats.org/officeDocument/2006/relationships/hyperlink" Target="https://keuangan.kontan.co.id/news/qris-cross-border-kian-diminati-transaksi-tumbuh-pesat" TargetMode="External" Id="rId4"/><Relationship Type="http://schemas.openxmlformats.org/officeDocument/2006/relationships/hyperlink" Target="https://keuangan.kontan.co.id/news/qris-cross-border-kian-diminati-transaksi-tumbuh-pesat" TargetMode="External" Id="rId5"/><Relationship Type="http://schemas.openxmlformats.org/officeDocument/2006/relationships/hyperlink" Target="https://keuangan.kontan.co.id/news/qris-cross-border-kian-diminati-transaksi-tumbuh-pesat" TargetMode="External" Id="rId6"/><Relationship Type="http://schemas.openxmlformats.org/officeDocument/2006/relationships/hyperlink" Target="https://www.bi.go.id/id/publikasi/ruang-media/news-release/Pages/sp_2819126.aspx" TargetMode="External" Id="rId7"/><Relationship Type="http://schemas.openxmlformats.org/officeDocument/2006/relationships/hyperlink" Target="https://www.bi.go.id/id/publikasi/ruang-media/news-release/Pages/sp_2819126.aspx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Dataset QRIS Indonesia 2021–2026</t>
        </is>
      </c>
    </row>
    <row r="2">
      <c r="A2" s="2" t="inlineStr">
        <is>
          <t>Penyusun: Ade Rumintarsih, Universitas Nusa Mandiri. Disusun 12 Oktober 2026.</t>
        </is>
      </c>
      <c r="B2" s="2" t="n"/>
    </row>
    <row r="3">
      <c r="A3" s="2" t="inlineStr"/>
      <c r="B3" s="2" t="n"/>
    </row>
    <row r="4">
      <c r="A4" s="3" t="inlineStr">
        <is>
          <t>Status sumber</t>
        </is>
      </c>
      <c r="B4" s="2" t="inlineStr">
        <is>
          <t>Arti</t>
        </is>
      </c>
    </row>
    <row r="5">
      <c r="A5" s="4" t="inlineStr">
        <is>
          <t>RESMI BI</t>
        </is>
      </c>
      <c r="B5" s="2" t="inlineStr">
        <is>
          <t>Angka tertulis langsung di siaran pers Bank Indonesia (bi.go.id). Paling kuat untuk dikutip.</t>
        </is>
      </c>
    </row>
    <row r="6">
      <c r="A6" s="5" t="inlineStr">
        <is>
          <t>PEJABAT BI</t>
        </is>
      </c>
      <c r="B6" s="2" t="inlineStr">
        <is>
          <t>Pernyataan Gubernur/Deputi Gubernur/pejabat BI di konferensi pers atau acara, dikutip media. Kutip media dan sebut pejabatnya.</t>
        </is>
      </c>
    </row>
    <row r="7">
      <c r="A7" s="6" t="inlineStr">
        <is>
          <t>ASPI</t>
        </is>
      </c>
      <c r="B7" s="2" t="inlineStr">
        <is>
          <t>Data Asosiasi Sistem Pembayaran Indonesia yang dikutip media.</t>
        </is>
      </c>
    </row>
    <row r="8">
      <c r="A8" s="7" t="inlineStr">
        <is>
          <t>TURUNAN</t>
        </is>
      </c>
      <c r="B8" s="2" t="inlineStr">
        <is>
          <t>Dihitung dari angka resmi (cara hitung ada di kolom Catatan).</t>
        </is>
      </c>
    </row>
    <row r="9">
      <c r="A9" s="2" t="inlineStr"/>
      <c r="B9" s="2" t="n"/>
    </row>
    <row r="10">
      <c r="A10" s="3" t="inlineStr">
        <is>
          <t>Catatan penting</t>
        </is>
      </c>
      <c r="B10" s="2" t="n"/>
    </row>
    <row r="11">
      <c r="A11" s="2" t="inlineStr">
        <is>
          <t>1. Tabel Statistik Sistem Pembayaran dan Infrastruktur Pasar Keuangan (SPIP) BI tidak memuat baris QRIS; sumber resmi utama adalah siaran pers BI.</t>
        </is>
      </c>
      <c r="B11" s="2" t="n"/>
    </row>
    <row r="12">
      <c r="A12" s="2" t="inlineStr">
        <is>
          <t>2. Sejak 2025, siaran pers RDG hanya memuat pertumbuhan transaksi QRIS, bukan jumlah pengguna/merchant; angka 2025–2026 diambil dari siaran pers tematik BI atau pernyataan pejabat BI.</t>
        </is>
      </c>
      <c r="B12" s="2" t="n"/>
    </row>
    <row r="13">
      <c r="A13" s="2" t="inlineStr">
        <is>
          <t>3. Siaran pers RDG tidak selalu menyebut bulan posisi; posisi ditetapkan dari konteks paragraf (lihat kolom Catatan).</t>
        </is>
      </c>
      <c r="B13" s="2" t="n"/>
    </row>
    <row r="14">
      <c r="A14" s="2" t="inlineStr">
        <is>
          <t>4. Angka pengguna adalah pengguna terdaftar, bukan pengguna aktif.</t>
        </is>
      </c>
      <c r="B14" s="2" t="n"/>
    </row>
    <row r="15">
      <c r="A15" s="2" t="inlineStr">
        <is>
          <t>5. Kolom D (Pengguna_Merchant) dan E (Transaksi) serta ringkasan Antarnegara adalah rumus; ubah angka di kolom input dan hasilnya ikut berubah.</t>
        </is>
      </c>
      <c r="B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2" customWidth="1" min="7" max="7"/>
    <col width="46" customWidth="1" min="8" max="8"/>
    <col width="50" customWidth="1" min="9" max="9"/>
    <col width="50" customWidth="1" min="10" max="10"/>
  </cols>
  <sheetData>
    <row r="1">
      <c r="A1" s="8" t="inlineStr">
        <is>
          <t>Periode (posisi)</t>
        </is>
      </c>
      <c r="B1" s="8" t="inlineStr">
        <is>
          <t>Pengguna (juta)</t>
        </is>
      </c>
      <c r="C1" s="8" t="inlineStr">
        <is>
          <t>Merchant (juta)</t>
        </is>
      </c>
      <c r="D1" s="8" t="inlineStr">
        <is>
          <t>Pengguna per merchant</t>
        </is>
      </c>
      <c r="E1" s="8" t="inlineStr">
        <is>
          <t>Status sumber</t>
        </is>
      </c>
      <c r="F1" s="8" t="inlineStr">
        <is>
          <t>No. siaran pers</t>
        </is>
      </c>
      <c r="G1" s="8" t="inlineStr">
        <is>
          <t>Tanggal rilis</t>
        </is>
      </c>
      <c r="H1" s="8" t="inlineStr">
        <is>
          <t>Sumber</t>
        </is>
      </c>
      <c r="I1" s="8" t="inlineStr">
        <is>
          <t>URL</t>
        </is>
      </c>
      <c r="J1" s="8" t="inlineStr">
        <is>
          <t>Catatan</t>
        </is>
      </c>
    </row>
    <row r="2">
      <c r="A2" s="2" t="inlineStr">
        <is>
          <t>2021-12</t>
        </is>
      </c>
      <c r="B2" s="9" t="n">
        <v>12.8</v>
      </c>
      <c r="C2" s="9" t="n"/>
      <c r="D2" s="9">
        <f>IF(AND(ISNUMBER(B2),ISNUMBER(C2)),B2/C2,"")</f>
        <v/>
      </c>
      <c r="E2" s="7" t="inlineStr">
        <is>
          <t>TURUNAN</t>
        </is>
      </c>
      <c r="F2" s="2" t="inlineStr"/>
      <c r="G2" s="2" t="inlineStr"/>
      <c r="H2" s="2" t="inlineStr">
        <is>
          <t>BI via Bisnis.com 24/02/2023</t>
        </is>
      </c>
      <c r="I2" s="10" t="inlineStr">
        <is>
          <t>https://finansial.bisnis.com/read/20230224/90/1631430/cuan-bri-bbri-catatkan-nilai-transaksi-qris-rp74-triliun-sepanjang-2022</t>
        </is>
      </c>
      <c r="J2" s="2" t="inlineStr">
        <is>
          <t>28,75 juta (Des-2022) dikurangi tambahan 15,95 juta selama 2022</t>
        </is>
      </c>
    </row>
    <row r="3">
      <c r="A3" s="2" t="inlineStr">
        <is>
          <t>2022-02</t>
        </is>
      </c>
      <c r="B3" s="9" t="n">
        <v>15.99</v>
      </c>
      <c r="C3" s="9" t="n"/>
      <c r="D3" s="9">
        <f>IF(AND(ISNUMBER(B3),ISNUMBER(C3)),B3/C3,"")</f>
        <v/>
      </c>
      <c r="E3" s="5" t="inlineStr">
        <is>
          <t>PEJABAT BI</t>
        </is>
      </c>
      <c r="F3" s="2" t="inlineStr"/>
      <c r="G3" s="2" t="inlineStr">
        <is>
          <t>2022-04-04</t>
        </is>
      </c>
      <c r="H3" s="2" t="inlineStr">
        <is>
          <t>Kepala DKSP BI, paparan virtual, via Fortune IDN</t>
        </is>
      </c>
      <c r="I3" s="10" t="inlineStr">
        <is>
          <t>https://www.fortuneidn.com/finance/transaksi-digital-meningkat-bi-bidik-pengguna-qris-capai-26-juta-00-ccw2k-hclm40</t>
        </is>
      </c>
      <c r="J3" s="2" t="inlineStr"/>
    </row>
    <row r="4">
      <c r="A4" s="2" t="inlineStr">
        <is>
          <t>2022-09</t>
        </is>
      </c>
      <c r="B4" s="9" t="n">
        <v>25.2</v>
      </c>
      <c r="C4" s="9" t="n">
        <v>21.6</v>
      </c>
      <c r="D4" s="9">
        <f>IF(AND(ISNUMBER(B4),ISNUMBER(C4)),B4/C4,"")</f>
        <v/>
      </c>
      <c r="E4" s="5" t="inlineStr">
        <is>
          <t>PEJABAT BI</t>
        </is>
      </c>
      <c r="F4" s="2" t="inlineStr"/>
      <c r="G4" s="2" t="inlineStr">
        <is>
          <t>2022-10-28</t>
        </is>
      </c>
      <c r="H4" s="2" t="inlineStr">
        <is>
          <t>Asisten Gubernur BI via Kontan</t>
        </is>
      </c>
      <c r="I4" s="10" t="inlineStr">
        <is>
          <t>https://keuangan.kontan.co.id/news/makin-diminati-transaksi-qris-capai-rp-297-triliun-hingga-september-2022</t>
        </is>
      </c>
      <c r="J4" s="2" t="inlineStr"/>
    </row>
    <row r="5">
      <c r="A5" s="2" t="inlineStr">
        <is>
          <t>2022-12</t>
        </is>
      </c>
      <c r="B5" s="9" t="n">
        <v>28.75</v>
      </c>
      <c r="C5" s="9" t="n">
        <v>22.7</v>
      </c>
      <c r="D5" s="9">
        <f>IF(AND(ISNUMBER(B5),ISNUMBER(C5)),B5/C5,"")</f>
        <v/>
      </c>
      <c r="E5" s="5" t="inlineStr">
        <is>
          <t>PEJABAT BI</t>
        </is>
      </c>
      <c r="F5" s="2" t="inlineStr"/>
      <c r="G5" s="2" t="inlineStr">
        <is>
          <t>2023-02</t>
        </is>
      </c>
      <c r="H5" s="2" t="inlineStr">
        <is>
          <t>BI via Bisnis.com 24/02/2023</t>
        </is>
      </c>
      <c r="I5" s="10" t="inlineStr">
        <is>
          <t>https://finansial.bisnis.com/read/20230224/90/1631430/cuan-bri-bbri-catatkan-nilai-transaksi-qris-rp74-triliun-sepanjang-2022</t>
        </is>
      </c>
      <c r="J5" s="2" t="inlineStr">
        <is>
          <t>ASPI mencatat 23,97 juta merchant Des-2022 (Gusti, 2024)</t>
        </is>
      </c>
    </row>
    <row r="6">
      <c r="A6" s="2" t="inlineStr">
        <is>
          <t>2023-02</t>
        </is>
      </c>
      <c r="B6" s="9" t="n">
        <v>30.87</v>
      </c>
      <c r="C6" s="9" t="n">
        <v>24.9</v>
      </c>
      <c r="D6" s="9">
        <f>IF(AND(ISNUMBER(B6),ISNUMBER(C6)),B6/C6,"")</f>
        <v/>
      </c>
      <c r="E6" s="4" t="inlineStr">
        <is>
          <t>RESMI BI</t>
        </is>
      </c>
      <c r="F6" s="2" t="inlineStr">
        <is>
          <t>25/93/DKom</t>
        </is>
      </c>
      <c r="G6" s="2" t="inlineStr">
        <is>
          <t>2023-04-11</t>
        </is>
      </c>
      <c r="H6" s="2" t="inlineStr">
        <is>
          <t>Siaran Pers BI</t>
        </is>
      </c>
      <c r="I6" s="10" t="inlineStr">
        <is>
          <t>https://www.bi.go.id/id/publikasi/ruang-media/news-release/Pages/sp_259323.aspx</t>
        </is>
      </c>
      <c r="J6" s="2" t="inlineStr"/>
    </row>
    <row r="7">
      <c r="A7" s="2" t="inlineStr">
        <is>
          <t>2023-05</t>
        </is>
      </c>
      <c r="B7" s="9" t="n">
        <v>35.8</v>
      </c>
      <c r="C7" s="9" t="n">
        <v>26.1</v>
      </c>
      <c r="D7" s="9">
        <f>IF(AND(ISNUMBER(B7),ISNUMBER(C7)),B7/C7,"")</f>
        <v/>
      </c>
      <c r="E7" s="4" t="inlineStr">
        <is>
          <t>RESMI BI</t>
        </is>
      </c>
      <c r="F7" s="2" t="inlineStr">
        <is>
          <t>25/165/DKom</t>
        </is>
      </c>
      <c r="G7" s="2" t="inlineStr">
        <is>
          <t>2023-06-22</t>
        </is>
      </c>
      <c r="H7" s="2" t="inlineStr">
        <is>
          <t>Siaran Pers RDG Juni 2023</t>
        </is>
      </c>
      <c r="I7" s="10" t="inlineStr">
        <is>
          <t>https://www.bi.go.id/en/publikasi/ruang-media/news-release/Pages/sp_2516523.aspx</t>
        </is>
      </c>
      <c r="J7" s="2" t="inlineStr">
        <is>
          <t>Posisi tersirat Mei 2023</t>
        </is>
      </c>
    </row>
    <row r="8">
      <c r="A8" s="2" t="inlineStr">
        <is>
          <t>2023-06</t>
        </is>
      </c>
      <c r="B8" s="9" t="n"/>
      <c r="C8" s="9" t="n">
        <v>26.7</v>
      </c>
      <c r="D8" s="9">
        <f>IF(AND(ISNUMBER(B8),ISNUMBER(C8)),B8/C8,"")</f>
        <v/>
      </c>
      <c r="E8" s="4" t="inlineStr">
        <is>
          <t>RESMI BI</t>
        </is>
      </c>
      <c r="F8" s="2" t="inlineStr">
        <is>
          <t>25/211/DKom</t>
        </is>
      </c>
      <c r="G8" s="2" t="inlineStr">
        <is>
          <t>2023-08-03</t>
        </is>
      </c>
      <c r="H8" s="2" t="inlineStr">
        <is>
          <t>Siaran Pers BI (penghargaan QRIS)</t>
        </is>
      </c>
      <c r="I8" s="10" t="inlineStr">
        <is>
          <t>https://www.bi.go.id/id/publikasi/ruang-media/news-release/Pages/sp_2521123.aspx</t>
        </is>
      </c>
      <c r="J8" s="2" t="inlineStr">
        <is>
          <t>91,4% merchant UMKM</t>
        </is>
      </c>
    </row>
    <row r="9">
      <c r="A9" s="2" t="inlineStr">
        <is>
          <t>2023-07</t>
        </is>
      </c>
      <c r="B9" s="9" t="n">
        <v>38.24</v>
      </c>
      <c r="C9" s="9" t="n">
        <v>27.51</v>
      </c>
      <c r="D9" s="9">
        <f>IF(AND(ISNUMBER(B9),ISNUMBER(C9)),B9/C9,"")</f>
        <v/>
      </c>
      <c r="E9" s="4" t="inlineStr">
        <is>
          <t>RESMI BI</t>
        </is>
      </c>
      <c r="F9" s="2" t="inlineStr">
        <is>
          <t>25/233/DKom</t>
        </is>
      </c>
      <c r="G9" s="2" t="inlineStr">
        <is>
          <t>2023-08-24</t>
        </is>
      </c>
      <c r="H9" s="2" t="inlineStr">
        <is>
          <t>Siaran Pers RDG Agustus 2023</t>
        </is>
      </c>
      <c r="I9" s="10" t="inlineStr">
        <is>
          <t>https://www.bi.go.id/id/publikasi/ruang-media/news-release/Pages/sp_2523323.aspx</t>
        </is>
      </c>
      <c r="J9" s="2" t="inlineStr">
        <is>
          <t>Posisi tersirat Juli 2023</t>
        </is>
      </c>
    </row>
    <row r="10">
      <c r="A10" s="2" t="inlineStr">
        <is>
          <t>2023-08</t>
        </is>
      </c>
      <c r="B10" s="9" t="n">
        <v>40.05</v>
      </c>
      <c r="C10" s="9" t="n">
        <v>28.38</v>
      </c>
      <c r="D10" s="9">
        <f>IF(AND(ISNUMBER(B10),ISNUMBER(C10)),B10/C10,"")</f>
        <v/>
      </c>
      <c r="E10" s="4" t="inlineStr">
        <is>
          <t>RESMI BI</t>
        </is>
      </c>
      <c r="F10" s="2" t="inlineStr">
        <is>
          <t>25/259/DKom</t>
        </is>
      </c>
      <c r="G10" s="2" t="inlineStr">
        <is>
          <t>2023-09-21</t>
        </is>
      </c>
      <c r="H10" s="2" t="inlineStr">
        <is>
          <t>Siaran Pers RDG September 2023</t>
        </is>
      </c>
      <c r="I10" s="10" t="inlineStr">
        <is>
          <t>https://www.bi.go.id/en/publikasi/ruang-media/news-release/Pages/sp_2525923.aspx</t>
        </is>
      </c>
      <c r="J10" s="2" t="inlineStr">
        <is>
          <t>Posisi tersirat Agustus 2023</t>
        </is>
      </c>
    </row>
    <row r="11">
      <c r="A11" s="2" t="inlineStr">
        <is>
          <t>2023-09</t>
        </is>
      </c>
      <c r="B11" s="9" t="n">
        <v>41.84</v>
      </c>
      <c r="C11" s="9" t="n">
        <v>29.04</v>
      </c>
      <c r="D11" s="9">
        <f>IF(AND(ISNUMBER(B11),ISNUMBER(C11)),B11/C11,"")</f>
        <v/>
      </c>
      <c r="E11" s="4" t="inlineStr">
        <is>
          <t>RESMI BI</t>
        </is>
      </c>
      <c r="F11" s="2" t="inlineStr">
        <is>
          <t>25/283/DKom</t>
        </is>
      </c>
      <c r="G11" s="2" t="inlineStr">
        <is>
          <t>2023-10-19</t>
        </is>
      </c>
      <c r="H11" s="2" t="inlineStr">
        <is>
          <t>Siaran Pers RDG Oktober 2023</t>
        </is>
      </c>
      <c r="I11" s="10" t="inlineStr">
        <is>
          <t>https://www.bi.go.id/id/publikasi/ruang-media/news-release/Pages/sp_2528323.aspx</t>
        </is>
      </c>
      <c r="J11" s="2" t="inlineStr">
        <is>
          <t>Posisi triwulan III 2023</t>
        </is>
      </c>
    </row>
    <row r="12">
      <c r="A12" s="2" t="inlineStr">
        <is>
          <t>2023-10</t>
        </is>
      </c>
      <c r="B12" s="9" t="n">
        <v>43.44</v>
      </c>
      <c r="C12" s="9" t="n">
        <v>29.63</v>
      </c>
      <c r="D12" s="9">
        <f>IF(AND(ISNUMBER(B12),ISNUMBER(C12)),B12/C12,"")</f>
        <v/>
      </c>
      <c r="E12" s="4" t="inlineStr">
        <is>
          <t>RESMI BI</t>
        </is>
      </c>
      <c r="F12" s="2" t="inlineStr">
        <is>
          <t>25/317/DKom</t>
        </is>
      </c>
      <c r="G12" s="2" t="inlineStr">
        <is>
          <t>2023-11-23</t>
        </is>
      </c>
      <c r="H12" s="2" t="inlineStr">
        <is>
          <t>Siaran Pers RDG November 2023</t>
        </is>
      </c>
      <c r="I12" s="10" t="inlineStr">
        <is>
          <t>https://www.bi.go.id/en/publikasi/ruang-media/news-release/Pages/sp_2531723.aspx</t>
        </is>
      </c>
      <c r="J12" s="2" t="inlineStr">
        <is>
          <t>Posisi tersirat Oktober 2023</t>
        </is>
      </c>
    </row>
    <row r="13">
      <c r="A13" s="2" t="inlineStr">
        <is>
          <t>2023-11</t>
        </is>
      </c>
      <c r="B13" s="9" t="n">
        <v>45.03</v>
      </c>
      <c r="C13" s="9" t="n">
        <v>30.12</v>
      </c>
      <c r="D13" s="9">
        <f>IF(AND(ISNUMBER(B13),ISNUMBER(C13)),B13/C13,"")</f>
        <v/>
      </c>
      <c r="E13" s="4" t="inlineStr">
        <is>
          <t>RESMI BI</t>
        </is>
      </c>
      <c r="F13" s="2" t="inlineStr">
        <is>
          <t>25/342/DKom</t>
        </is>
      </c>
      <c r="G13" s="2" t="inlineStr">
        <is>
          <t>2023-12-21</t>
        </is>
      </c>
      <c r="H13" s="2" t="inlineStr">
        <is>
          <t>Siaran Pers RDG Desember 2023</t>
        </is>
      </c>
      <c r="I13" s="10" t="inlineStr">
        <is>
          <t>https://www.bi.go.id/id/publikasi/ruang-media/news-release/Pages/sp_2534223.aspx</t>
        </is>
      </c>
      <c r="J13" s="2" t="inlineStr"/>
    </row>
    <row r="14">
      <c r="A14" s="2" t="inlineStr">
        <is>
          <t>2023-12</t>
        </is>
      </c>
      <c r="B14" s="9" t="n">
        <v>45.78</v>
      </c>
      <c r="C14" s="9" t="n">
        <v>30.41</v>
      </c>
      <c r="D14" s="9">
        <f>IF(AND(ISNUMBER(B14),ISNUMBER(C14)),B14/C14,"")</f>
        <v/>
      </c>
      <c r="E14" s="4" t="inlineStr">
        <is>
          <t>RESMI BI</t>
        </is>
      </c>
      <c r="F14" s="2" t="inlineStr">
        <is>
          <t>26/9/DKom</t>
        </is>
      </c>
      <c r="G14" s="2" t="inlineStr">
        <is>
          <t>2024-01-17</t>
        </is>
      </c>
      <c r="H14" s="2" t="inlineStr">
        <is>
          <t>Siaran Pers RDG Januari 2024</t>
        </is>
      </c>
      <c r="I14" s="10" t="inlineStr">
        <is>
          <t>https://www.bi.go.id/id/publikasi/ruang-media/news-release/Pages/sp_260924.aspx</t>
        </is>
      </c>
      <c r="J14" s="2" t="inlineStr">
        <is>
          <t>Kinerja 2023</t>
        </is>
      </c>
    </row>
    <row r="15">
      <c r="A15" s="2" t="inlineStr">
        <is>
          <t>2024-01</t>
        </is>
      </c>
      <c r="B15" s="9" t="n">
        <v>46.37</v>
      </c>
      <c r="C15" s="9" t="n">
        <v>30.88</v>
      </c>
      <c r="D15" s="9">
        <f>IF(AND(ISNUMBER(B15),ISNUMBER(C15)),B15/C15,"")</f>
        <v/>
      </c>
      <c r="E15" s="4" t="inlineStr">
        <is>
          <t>RESMI BI</t>
        </is>
      </c>
      <c r="F15" s="2" t="inlineStr">
        <is>
          <t>26/33/DKom</t>
        </is>
      </c>
      <c r="G15" s="2" t="inlineStr">
        <is>
          <t>2024-02-21</t>
        </is>
      </c>
      <c r="H15" s="2" t="inlineStr">
        <is>
          <t>Siaran Pers RDG Februari 2024</t>
        </is>
      </c>
      <c r="I15" s="10" t="inlineStr">
        <is>
          <t>https://www.bi.go.id/id/publikasi/ruang-media/news-release/Pages/sp_263324.aspx</t>
        </is>
      </c>
      <c r="J15" s="2" t="inlineStr"/>
    </row>
    <row r="16">
      <c r="A16" s="2" t="inlineStr">
        <is>
          <t>2024-02</t>
        </is>
      </c>
      <c r="B16" s="9" t="n">
        <v>46.98</v>
      </c>
      <c r="C16" s="9" t="n">
        <v>31.27</v>
      </c>
      <c r="D16" s="9">
        <f>IF(AND(ISNUMBER(B16),ISNUMBER(C16)),B16/C16,"")</f>
        <v/>
      </c>
      <c r="E16" s="4" t="inlineStr">
        <is>
          <t>RESMI BI</t>
        </is>
      </c>
      <c r="F16" s="2" t="inlineStr">
        <is>
          <t>26/54/DKom</t>
        </is>
      </c>
      <c r="G16" s="2" t="inlineStr">
        <is>
          <t>2024-03-20</t>
        </is>
      </c>
      <c r="H16" s="2" t="inlineStr">
        <is>
          <t>Siaran Pers RDG Maret 2024</t>
        </is>
      </c>
      <c r="I16" s="10" t="inlineStr">
        <is>
          <t>https://www.bi.go.id/id/publikasi/ruang-media/news-release/Pages/sp_265424.aspx</t>
        </is>
      </c>
      <c r="J16" s="2" t="inlineStr">
        <is>
          <t>Posisi tersirat Februari 2024</t>
        </is>
      </c>
    </row>
    <row r="17">
      <c r="A17" s="2" t="inlineStr">
        <is>
          <t>2024-03</t>
        </is>
      </c>
      <c r="B17" s="9" t="n">
        <v>48.12</v>
      </c>
      <c r="C17" s="9" t="n">
        <v>31.61</v>
      </c>
      <c r="D17" s="9">
        <f>IF(AND(ISNUMBER(B17),ISNUMBER(C17)),B17/C17,"")</f>
        <v/>
      </c>
      <c r="E17" s="4" t="inlineStr">
        <is>
          <t>RESMI BI</t>
        </is>
      </c>
      <c r="F17" s="2" t="inlineStr">
        <is>
          <t>26/80/DKom</t>
        </is>
      </c>
      <c r="G17" s="2" t="inlineStr">
        <is>
          <t>2024-04-24</t>
        </is>
      </c>
      <c r="H17" s="2" t="inlineStr">
        <is>
          <t>Siaran Pers RDG April 2024</t>
        </is>
      </c>
      <c r="I17" s="10" t="inlineStr">
        <is>
          <t>https://www.bi.go.id/id/publikasi/ruang-media/news-release/Pages/sp_268024.aspx</t>
        </is>
      </c>
      <c r="J17" s="2" t="inlineStr">
        <is>
          <t>Posisi triwulan I 2024</t>
        </is>
      </c>
    </row>
    <row r="18">
      <c r="A18" s="2" t="inlineStr">
        <is>
          <t>2024-04</t>
        </is>
      </c>
      <c r="B18" s="9" t="n">
        <v>48.9</v>
      </c>
      <c r="C18" s="9" t="n">
        <v>31.86</v>
      </c>
      <c r="D18" s="9">
        <f>IF(AND(ISNUMBER(B18),ISNUMBER(C18)),B18/C18,"")</f>
        <v/>
      </c>
      <c r="E18" s="4" t="inlineStr">
        <is>
          <t>RESMI BI</t>
        </is>
      </c>
      <c r="F18" s="2" t="inlineStr">
        <is>
          <t>26/108/DKom</t>
        </is>
      </c>
      <c r="G18" s="2" t="inlineStr">
        <is>
          <t>2024-05-22</t>
        </is>
      </c>
      <c r="H18" s="2" t="inlineStr">
        <is>
          <t>Siaran Pers RDG Mei 2024</t>
        </is>
      </c>
      <c r="I18" s="10" t="inlineStr">
        <is>
          <t>https://www.bi.go.id/id/publikasi/ruang-media/news-release/Pages/sp_2610824.aspx</t>
        </is>
      </c>
      <c r="J18" s="2" t="inlineStr"/>
    </row>
    <row r="19">
      <c r="A19" s="2" t="inlineStr">
        <is>
          <t>2024-05</t>
        </is>
      </c>
      <c r="B19" s="9" t="n">
        <v>49.76</v>
      </c>
      <c r="C19" s="9" t="n">
        <v>32.25</v>
      </c>
      <c r="D19" s="9">
        <f>IF(AND(ISNUMBER(B19),ISNUMBER(C19)),B19/C19,"")</f>
        <v/>
      </c>
      <c r="E19" s="4" t="inlineStr">
        <is>
          <t>RESMI BI</t>
        </is>
      </c>
      <c r="F19" s="2" t="inlineStr">
        <is>
          <t>26/125/DKom</t>
        </is>
      </c>
      <c r="G19" s="2" t="inlineStr">
        <is>
          <t>2024-06-20</t>
        </is>
      </c>
      <c r="H19" s="2" t="inlineStr">
        <is>
          <t>Siaran Pers RDG Juni 2024</t>
        </is>
      </c>
      <c r="I19" s="10" t="inlineStr">
        <is>
          <t>https://www.bi.go.id/en/publikasi/ruang-media/news-release/Pages/sp_2612524.aspx</t>
        </is>
      </c>
      <c r="J19" s="2" t="inlineStr"/>
    </row>
    <row r="20">
      <c r="A20" s="2" t="inlineStr">
        <is>
          <t>2024-06</t>
        </is>
      </c>
      <c r="B20" s="9" t="n">
        <v>50.5</v>
      </c>
      <c r="C20" s="9" t="n">
        <v>32.71</v>
      </c>
      <c r="D20" s="9">
        <f>IF(AND(ISNUMBER(B20),ISNUMBER(C20)),B20/C20,"")</f>
        <v/>
      </c>
      <c r="E20" s="4" t="inlineStr">
        <is>
          <t>RESMI BI</t>
        </is>
      </c>
      <c r="F20" s="2" t="inlineStr">
        <is>
          <t>26/144/DKom</t>
        </is>
      </c>
      <c r="G20" s="2" t="inlineStr">
        <is>
          <t>2024-07-17</t>
        </is>
      </c>
      <c r="H20" s="2" t="inlineStr">
        <is>
          <t>Siaran Pers RDG Juli 2024</t>
        </is>
      </c>
      <c r="I20" s="10" t="inlineStr">
        <is>
          <t>https://www.bi.go.id/en/publikasi/ruang-media/news-release/Pages/sp_2614424.aspx</t>
        </is>
      </c>
      <c r="J20" s="2" t="inlineStr">
        <is>
          <t>Posisi triwulan II 2024</t>
        </is>
      </c>
    </row>
    <row r="21">
      <c r="A21" s="2" t="inlineStr">
        <is>
          <t>2024-08</t>
        </is>
      </c>
      <c r="B21" s="9" t="n">
        <v>52.55</v>
      </c>
      <c r="C21" s="9" t="n">
        <v>33.77</v>
      </c>
      <c r="D21" s="9">
        <f>IF(AND(ISNUMBER(B21),ISNUMBER(C21)),B21/C21,"")</f>
        <v/>
      </c>
      <c r="E21" s="4" t="inlineStr">
        <is>
          <t>RESMI BI</t>
        </is>
      </c>
      <c r="F21" s="2" t="inlineStr">
        <is>
          <t>26/201/DKom</t>
        </is>
      </c>
      <c r="G21" s="2" t="inlineStr">
        <is>
          <t>2024-09-18</t>
        </is>
      </c>
      <c r="H21" s="2" t="inlineStr">
        <is>
          <t>Siaran Pers RDG September 2024</t>
        </is>
      </c>
      <c r="I21" s="10" t="inlineStr">
        <is>
          <t>https://www.bi.go.id/id/publikasi/ruang-media/news-release/Pages/sp_2620124.aspx</t>
        </is>
      </c>
      <c r="J21" s="2" t="inlineStr"/>
    </row>
    <row r="22">
      <c r="A22" s="2" t="inlineStr">
        <is>
          <t>2024-09</t>
        </is>
      </c>
      <c r="B22" s="9" t="n">
        <v>53.3</v>
      </c>
      <c r="C22" s="9" t="n">
        <v>34.23</v>
      </c>
      <c r="D22" s="9">
        <f>IF(AND(ISNUMBER(B22),ISNUMBER(C22)),B22/C22,"")</f>
        <v/>
      </c>
      <c r="E22" s="4" t="inlineStr">
        <is>
          <t>RESMI BI</t>
        </is>
      </c>
      <c r="F22" s="2" t="inlineStr">
        <is>
          <t>26/225/DKom</t>
        </is>
      </c>
      <c r="G22" s="2" t="inlineStr">
        <is>
          <t>2024-10-16</t>
        </is>
      </c>
      <c r="H22" s="2" t="inlineStr">
        <is>
          <t>Siaran Pers RDG Oktober 2024</t>
        </is>
      </c>
      <c r="I22" s="10" t="inlineStr">
        <is>
          <t>https://www.bi.go.id/id/publikasi/ruang-media/news-release/Pages/sp_2622524.aspx</t>
        </is>
      </c>
      <c r="J22" s="2" t="inlineStr">
        <is>
          <t>Posisi triwulan III 2024 (versi sebelumnya memakai 53,0 dari media)</t>
        </is>
      </c>
    </row>
    <row r="23">
      <c r="A23" s="2" t="inlineStr">
        <is>
          <t>2024-10</t>
        </is>
      </c>
      <c r="B23" s="9" t="n">
        <v>54.1</v>
      </c>
      <c r="C23" s="9" t="n">
        <v>34.7</v>
      </c>
      <c r="D23" s="9">
        <f>IF(AND(ISNUMBER(B23),ISNUMBER(C23)),B23/C23,"")</f>
        <v/>
      </c>
      <c r="E23" s="4" t="inlineStr">
        <is>
          <t>RESMI BI</t>
        </is>
      </c>
      <c r="F23" s="2" t="inlineStr">
        <is>
          <t>26/254/DKom</t>
        </is>
      </c>
      <c r="G23" s="2" t="inlineStr">
        <is>
          <t>2024-11-20</t>
        </is>
      </c>
      <c r="H23" s="2" t="inlineStr">
        <is>
          <t>Siaran Pers RDG November 2024</t>
        </is>
      </c>
      <c r="I23" s="10" t="inlineStr">
        <is>
          <t>https://www.bi.go.id/id/publikasi/ruang-media/news-release/Pages/sp_2625424.aspx</t>
        </is>
      </c>
      <c r="J23" s="2" t="inlineStr"/>
    </row>
    <row r="24">
      <c r="A24" s="2" t="inlineStr">
        <is>
          <t>2024-11</t>
        </is>
      </c>
      <c r="B24" s="9" t="n">
        <v>55.02</v>
      </c>
      <c r="C24" s="9" t="n">
        <v>35.1</v>
      </c>
      <c r="D24" s="9">
        <f>IF(AND(ISNUMBER(B24),ISNUMBER(C24)),B24/C24,"")</f>
        <v/>
      </c>
      <c r="E24" s="4" t="inlineStr">
        <is>
          <t>RESMI BI</t>
        </is>
      </c>
      <c r="F24" s="2" t="inlineStr">
        <is>
          <t>26/275/DKom</t>
        </is>
      </c>
      <c r="G24" s="2" t="inlineStr">
        <is>
          <t>2024-12-18</t>
        </is>
      </c>
      <c r="H24" s="2" t="inlineStr">
        <is>
          <t>Siaran Pers RDG Desember 2024</t>
        </is>
      </c>
      <c r="I24" s="10" t="inlineStr">
        <is>
          <t>https://www.bi.go.id/en/publikasi/ruang-media/news-release/Pages/sp_2627524.aspx</t>
        </is>
      </c>
      <c r="J24" s="2" t="inlineStr"/>
    </row>
    <row r="25">
      <c r="A25" s="2" t="inlineStr">
        <is>
          <t>2025-03</t>
        </is>
      </c>
      <c r="B25" s="9" t="n">
        <v>56.3</v>
      </c>
      <c r="C25" s="9" t="n">
        <v>38.1</v>
      </c>
      <c r="D25" s="9">
        <f>IF(AND(ISNUMBER(B25),ISNUMBER(C25)),B25/C25,"")</f>
        <v/>
      </c>
      <c r="E25" s="5" t="inlineStr">
        <is>
          <t>PEJABAT BI</t>
        </is>
      </c>
      <c r="F25" s="2" t="inlineStr"/>
      <c r="G25" s="2" t="inlineStr">
        <is>
          <t>2025-04-23</t>
        </is>
      </c>
      <c r="H25" s="2" t="inlineStr">
        <is>
          <t>Deputi Gubernur BI, konferensi pers RDG April 2025, via detik</t>
        </is>
      </c>
      <c r="I25" s="10" t="inlineStr">
        <is>
          <t>https://finance.detik.com/foto-bisnis/d-7889441/mantap-qris-tembus-56-juta-pengguna?zoom=1</t>
        </is>
      </c>
      <c r="J25" s="2" t="inlineStr">
        <is>
          <t>Rilis RDG 27/84/DKom hanya memuat pertumbuhan</t>
        </is>
      </c>
    </row>
    <row r="26">
      <c r="A26" s="2" t="inlineStr">
        <is>
          <t>2025-06</t>
        </is>
      </c>
      <c r="B26" s="9" t="n">
        <v>57</v>
      </c>
      <c r="C26" s="9" t="n">
        <v>39.3</v>
      </c>
      <c r="D26" s="9">
        <f>IF(AND(ISNUMBER(B26),ISNUMBER(C26)),B26/C26,"")</f>
        <v/>
      </c>
      <c r="E26" s="4" t="inlineStr">
        <is>
          <t>RESMI BI</t>
        </is>
      </c>
      <c r="F26" s="2" t="inlineStr">
        <is>
          <t>27/170/DKom</t>
        </is>
      </c>
      <c r="G26" s="2" t="inlineStr">
        <is>
          <t>2025-08-04</t>
        </is>
      </c>
      <c r="H26" s="2" t="inlineStr">
        <is>
          <t>Siaran Pers QRIS Jelajah Indonesia 2025</t>
        </is>
      </c>
      <c r="I26" s="10" t="inlineStr">
        <is>
          <t>https://www.bi.go.id/id/publikasi/ruang-media/news-release/Pages/sp_2717025.aspx</t>
        </is>
      </c>
      <c r="J26" s="2" t="inlineStr">
        <is>
          <t>Posisi semester I 2025; 93,16% merchant UMKM</t>
        </is>
      </c>
    </row>
    <row r="27">
      <c r="A27" s="2" t="inlineStr">
        <is>
          <t>2025-09</t>
        </is>
      </c>
      <c r="B27" s="9" t="n">
        <v>58</v>
      </c>
      <c r="C27" s="9" t="n">
        <v>41</v>
      </c>
      <c r="D27" s="9">
        <f>IF(AND(ISNUMBER(B27),ISNUMBER(C27)),B27/C27,"")</f>
        <v/>
      </c>
      <c r="E27" s="5" t="inlineStr">
        <is>
          <t>PEJABAT BI</t>
        </is>
      </c>
      <c r="F27" s="2" t="inlineStr"/>
      <c r="G27" s="2" t="inlineStr">
        <is>
          <t>2025-11-11</t>
        </is>
      </c>
      <c r="H27" s="2" t="inlineStr">
        <is>
          <t>Deputi Gubernur BI, Bulan Fintech Nasional, via Investortrust</t>
        </is>
      </c>
      <c r="I27" s="10" t="inlineStr">
        <is>
          <t>https://investortrust.id/financial/85155/tumbuh-158-transaksi-qris-tembus-10-33-miliar-per-september-2025</t>
        </is>
      </c>
      <c r="J27" s="2" t="inlineStr"/>
    </row>
    <row r="28">
      <c r="A28" s="2" t="inlineStr">
        <is>
          <t>2025-11</t>
        </is>
      </c>
      <c r="B28" s="9" t="n">
        <v>59</v>
      </c>
      <c r="C28" s="9" t="n">
        <v>42</v>
      </c>
      <c r="D28" s="9">
        <f>IF(AND(ISNUMBER(B28),ISNUMBER(C28)),B28/C28,"")</f>
        <v/>
      </c>
      <c r="E28" s="5" t="inlineStr">
        <is>
          <t>PEJABAT BI</t>
        </is>
      </c>
      <c r="F28" s="2" t="inlineStr"/>
      <c r="G28" s="2" t="inlineStr">
        <is>
          <t>2025-12-17</t>
        </is>
      </c>
      <c r="H28" s="2" t="inlineStr">
        <is>
          <t>Deputi Gubernur BI, konferensi pers RDG Desember 2025, via Bisnis.com</t>
        </is>
      </c>
      <c r="I28" s="10" t="inlineStr">
        <is>
          <t>https://ekonomi.bisnis.com/read/20251218/9/1937730/transaksi-qris-2-kali-lipat-dari-target-ekonomi-ri-cerah</t>
        </is>
      </c>
      <c r="J28" s="2" t="inlineStr">
        <is>
          <t>Disebut 'sampai dengan 2025'; posisi diasumsikan November 2025</t>
        </is>
      </c>
    </row>
    <row r="29">
      <c r="A29" s="2" t="inlineStr">
        <is>
          <t>2026-01</t>
        </is>
      </c>
      <c r="B29" s="9" t="n">
        <v>59.98</v>
      </c>
      <c r="C29" s="9" t="n">
        <v>43.06</v>
      </c>
      <c r="D29" s="9">
        <f>IF(AND(ISNUMBER(B29),ISNUMBER(C29)),B29/C29,"")</f>
        <v/>
      </c>
      <c r="E29" s="5" t="inlineStr">
        <is>
          <t>PEJABAT BI</t>
        </is>
      </c>
      <c r="F29" s="2" t="inlineStr"/>
      <c r="G29" s="2" t="inlineStr">
        <is>
          <t>2026-03-12</t>
        </is>
      </c>
      <c r="H29" s="2" t="inlineStr">
        <is>
          <t>Deputi Gubernur BI via Kontan</t>
        </is>
      </c>
      <c r="I29" s="10" t="inlineStr">
        <is>
          <t>https://keuangan.kontan.co.id/news/bi-mencatat-nilai-transaksi-qris-capai-rp-16448-triliun-pada-januari-2026</t>
        </is>
      </c>
      <c r="J29" s="2" t="inlineStr">
        <is>
          <t>Pengguna +7,72% yoy, merchant +17,76% yoy</t>
        </is>
      </c>
    </row>
    <row r="30">
      <c r="A30" s="2" t="inlineStr">
        <is>
          <t>2026-02</t>
        </is>
      </c>
      <c r="B30" s="9" t="n">
        <v>60.77</v>
      </c>
      <c r="C30" s="9" t="n"/>
      <c r="D30" s="9">
        <f>IF(AND(ISNUMBER(B30),ISNUMBER(C30)),B30/C30,"")</f>
        <v/>
      </c>
      <c r="E30" s="5" t="inlineStr">
        <is>
          <t>PEJABAT BI</t>
        </is>
      </c>
      <c r="F30" s="2" t="inlineStr"/>
      <c r="G30" s="2" t="inlineStr">
        <is>
          <t>2026-04-08</t>
        </is>
      </c>
      <c r="H30" s="2" t="inlineStr">
        <is>
          <t>BI via Kontan</t>
        </is>
      </c>
      <c r="I30" s="10" t="inlineStr">
        <is>
          <t>https://keuangan.kontan.co.id/news/qris-cross-border-kian-diminati-transaksi-tumbuh-pesat</t>
        </is>
      </c>
      <c r="J30" s="2" t="inlineStr"/>
    </row>
    <row r="31">
      <c r="A31" s="2" t="inlineStr">
        <is>
          <t>2026-06</t>
        </is>
      </c>
      <c r="B31" s="9" t="n">
        <v>65.77</v>
      </c>
      <c r="C31" s="9" t="n">
        <v>44.86</v>
      </c>
      <c r="D31" s="9">
        <f>IF(AND(ISNUMBER(B31),ISNUMBER(C31)),B31/C31,"")</f>
        <v/>
      </c>
      <c r="E31" s="4" t="inlineStr">
        <is>
          <t>RESMI BI</t>
        </is>
      </c>
      <c r="F31" s="2" t="inlineStr">
        <is>
          <t>28/159/DKom</t>
        </is>
      </c>
      <c r="G31" s="2" t="inlineStr">
        <is>
          <t>2026-08-17</t>
        </is>
      </c>
      <c r="H31" s="2" t="inlineStr">
        <is>
          <t>Siaran Pers Kartu Kredit Indonesia dan MDR 0%</t>
        </is>
      </c>
      <c r="I31" s="10" t="inlineStr">
        <is>
          <t>https://www.bi.go.id/id/publikasi/ruang-media/news-release/Pages/sp_2815926.aspx</t>
        </is>
      </c>
      <c r="J31" s="2" t="inlineStr">
        <is>
          <t>6,23 juta pengguna baru Jan-Jun 2026; 96,68% merchant UMKM</t>
        </is>
      </c>
    </row>
    <row r="32">
      <c r="A32" s="2" t="inlineStr">
        <is>
          <t>2026-07</t>
        </is>
      </c>
      <c r="B32" s="9" t="n"/>
      <c r="C32" s="9" t="n">
        <v>45.46</v>
      </c>
      <c r="D32" s="9">
        <f>IF(AND(ISNUMBER(B32),ISNUMBER(C32)),B32/C32,"")</f>
        <v/>
      </c>
      <c r="E32" s="4" t="inlineStr">
        <is>
          <t>RESMI BI</t>
        </is>
      </c>
      <c r="F32" s="2" t="inlineStr">
        <is>
          <t>28/191/DKom</t>
        </is>
      </c>
      <c r="G32" s="2" t="inlineStr">
        <is>
          <t>2026-09-22</t>
        </is>
      </c>
      <c r="H32" s="2" t="inlineStr">
        <is>
          <t>Siaran Pers QRIS Antarnegara 50-in-5 Awards</t>
        </is>
      </c>
      <c r="I32" s="10" t="inlineStr">
        <is>
          <t>https://www.bi.go.id/id/publikasi/ruang-media/news-release/Pages/sp_2819126.aspx</t>
        </is>
      </c>
      <c r="J32" s="2" t="inlineStr">
        <is>
          <t>96,69% merchant UMKM</t>
        </is>
      </c>
    </row>
    <row r="33">
      <c r="A33" s="2" t="inlineStr">
        <is>
          <t>2026-08</t>
        </is>
      </c>
      <c r="B33" s="9" t="n">
        <v>69.31999999999999</v>
      </c>
      <c r="C33" s="9" t="n">
        <v>47.11</v>
      </c>
      <c r="D33" s="9">
        <f>IF(AND(ISNUMBER(B33),ISNUMBER(C33)),B33/C33,"")</f>
        <v/>
      </c>
      <c r="E33" s="4" t="inlineStr">
        <is>
          <t>RESMI BI</t>
        </is>
      </c>
      <c r="F33" s="2" t="inlineStr">
        <is>
          <t>28/196/DKom</t>
        </is>
      </c>
      <c r="G33" s="2" t="inlineStr">
        <is>
          <t>2026-09-24</t>
        </is>
      </c>
      <c r="H33" s="2" t="inlineStr">
        <is>
          <t>Siaran Pers FEKDI x IFSE 2026</t>
        </is>
      </c>
      <c r="I33" s="10" t="inlineStr">
        <is>
          <t>https://www.bi.go.id/id/publikasi/ruang-media/news-release/Pages/sp_2819626.aspx</t>
        </is>
      </c>
      <c r="J33" s="2" t="inlineStr">
        <is>
          <t>Pengguna +20,26% yoy, merchant +13,83% yoy (yoy dari pernyataan Gubernur BI)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6" customWidth="1" min="5" max="5"/>
    <col width="13" customWidth="1" min="6" max="6"/>
    <col width="14" customWidth="1" min="7" max="7"/>
    <col width="38" customWidth="1" min="8" max="8"/>
    <col width="50" customWidth="1" min="9" max="9"/>
    <col width="50" customWidth="1" min="10" max="10"/>
  </cols>
  <sheetData>
    <row r="1">
      <c r="A1" s="8" t="inlineStr">
        <is>
          <t>Periode</t>
        </is>
      </c>
      <c r="B1" s="8" t="inlineStr">
        <is>
          <t>Cakupan</t>
        </is>
      </c>
      <c r="C1" s="8" t="inlineStr">
        <is>
          <t>Volume (miliar transaksi)</t>
        </is>
      </c>
      <c r="D1" s="8" t="inlineStr">
        <is>
          <t>Nilai (Rp triliun)</t>
        </is>
      </c>
      <c r="E1" s="8" t="inlineStr">
        <is>
          <t>Nilai rata-rata per transaksi (Rp ribu)</t>
        </is>
      </c>
      <c r="F1" s="8" t="inlineStr">
        <is>
          <t>Status sumber</t>
        </is>
      </c>
      <c r="G1" s="8" t="inlineStr">
        <is>
          <t>No. siaran pers</t>
        </is>
      </c>
      <c r="H1" s="8" t="inlineStr">
        <is>
          <t>Sumber</t>
        </is>
      </c>
      <c r="I1" s="8" t="inlineStr">
        <is>
          <t>URL</t>
        </is>
      </c>
      <c r="J1" s="8" t="inlineStr">
        <is>
          <t>Catatan</t>
        </is>
      </c>
    </row>
    <row r="2">
      <c r="A2" s="2" t="inlineStr">
        <is>
          <t>2020</t>
        </is>
      </c>
      <c r="B2" s="2" t="inlineStr">
        <is>
          <t>setahun</t>
        </is>
      </c>
      <c r="C2" s="2" t="n">
        <v>0.12411</v>
      </c>
      <c r="D2" s="2" t="n">
        <v>8.210000000000001</v>
      </c>
      <c r="E2" s="11">
        <f>IF(C2&gt;0,D2/C2,"")</f>
        <v/>
      </c>
      <c r="F2" s="6" t="inlineStr">
        <is>
          <t>ASPI</t>
        </is>
      </c>
      <c r="G2" s="2" t="inlineStr"/>
      <c r="H2" s="2" t="inlineStr">
        <is>
          <t>ASPI via RRI 18/04/2025</t>
        </is>
      </c>
      <c r="I2" s="10" t="inlineStr">
        <is>
          <t>https://www.rri.co.id/keuangan/1459019/pengguna-qris-makin-banyak-transaksi-capai-rp659-triliun</t>
        </is>
      </c>
      <c r="J2" s="2" t="inlineStr"/>
    </row>
    <row r="3">
      <c r="A3" s="2" t="inlineStr">
        <is>
          <t>2021</t>
        </is>
      </c>
      <c r="B3" s="2" t="inlineStr">
        <is>
          <t>setahun</t>
        </is>
      </c>
      <c r="C3" s="2" t="n">
        <v>0.37469</v>
      </c>
      <c r="D3" s="2" t="n">
        <v>27.63</v>
      </c>
      <c r="E3" s="11">
        <f>IF(C3&gt;0,D3/C3,"")</f>
        <v/>
      </c>
      <c r="F3" s="6" t="inlineStr">
        <is>
          <t>ASPI</t>
        </is>
      </c>
      <c r="G3" s="2" t="inlineStr"/>
      <c r="H3" s="2" t="inlineStr">
        <is>
          <t>ASPI via RRI 18/04/2025</t>
        </is>
      </c>
      <c r="I3" s="10" t="inlineStr">
        <is>
          <t>https://www.rri.co.id/keuangan/1459019/pengguna-qris-makin-banyak-transaksi-capai-rp659-triliun</t>
        </is>
      </c>
      <c r="J3" s="2" t="inlineStr"/>
    </row>
    <row r="4">
      <c r="A4" s="2" t="inlineStr">
        <is>
          <t>2022</t>
        </is>
      </c>
      <c r="B4" s="2" t="inlineStr">
        <is>
          <t>setahun</t>
        </is>
      </c>
      <c r="C4" s="2" t="n">
        <v>1.00319</v>
      </c>
      <c r="D4" s="2" t="n">
        <v>99.98</v>
      </c>
      <c r="E4" s="11">
        <f>IF(C4&gt;0,D4/C4,"")</f>
        <v/>
      </c>
      <c r="F4" s="6" t="inlineStr">
        <is>
          <t>ASPI</t>
        </is>
      </c>
      <c r="G4" s="2" t="inlineStr"/>
      <c r="H4" s="2" t="inlineStr">
        <is>
          <t>ASPI via RRI 18/04/2025</t>
        </is>
      </c>
      <c r="I4" s="10" t="inlineStr">
        <is>
          <t>https://www.rri.co.id/keuangan/1459019/pengguna-qris-makin-banyak-transaksi-capai-rp659-triliun</t>
        </is>
      </c>
      <c r="J4" s="2" t="inlineStr">
        <is>
          <t>BI resmi (25/211/DKom) menyebut 1,03 miliar transaksi</t>
        </is>
      </c>
    </row>
    <row r="5">
      <c r="A5" s="2" t="inlineStr">
        <is>
          <t>2023</t>
        </is>
      </c>
      <c r="B5" s="2" t="inlineStr">
        <is>
          <t>setahun</t>
        </is>
      </c>
      <c r="C5" s="2" t="n">
        <v>2.14</v>
      </c>
      <c r="D5" s="2" t="n">
        <v>226</v>
      </c>
      <c r="E5" s="11">
        <f>IF(C5&gt;0,D5/C5,"")</f>
        <v/>
      </c>
      <c r="F5" s="6" t="inlineStr">
        <is>
          <t>ASPI</t>
        </is>
      </c>
      <c r="G5" s="2" t="inlineStr"/>
      <c r="H5" s="2" t="inlineStr">
        <is>
          <t>ASPI via RRI 18/04/2025</t>
        </is>
      </c>
      <c r="I5" s="10" t="inlineStr">
        <is>
          <t>https://www.rri.co.id/keuangan/1459019/pengguna-qris-makin-banyak-transaksi-capai-rp659-triliun</t>
        </is>
      </c>
      <c r="J5" s="2" t="inlineStr">
        <is>
          <t>BI resmi (26/9/DKom) menyebut nominal Rp229,96 triliun</t>
        </is>
      </c>
    </row>
    <row r="6">
      <c r="A6" s="2" t="inlineStr">
        <is>
          <t>2024</t>
        </is>
      </c>
      <c r="B6" s="2" t="inlineStr">
        <is>
          <t>setahun</t>
        </is>
      </c>
      <c r="C6" s="2" t="n">
        <v>6.24</v>
      </c>
      <c r="D6" s="2" t="n">
        <v>659.9299999999999</v>
      </c>
      <c r="E6" s="11">
        <f>IF(C6&gt;0,D6/C6,"")</f>
        <v/>
      </c>
      <c r="F6" s="6" t="inlineStr">
        <is>
          <t>ASPI</t>
        </is>
      </c>
      <c r="G6" s="2" t="inlineStr"/>
      <c r="H6" s="2" t="inlineStr">
        <is>
          <t>ASPI via RRI 18/04/2025</t>
        </is>
      </c>
      <c r="I6" s="10" t="inlineStr">
        <is>
          <t>https://www.rri.co.id/keuangan/1459019/pengguna-qris-makin-banyak-transaksi-capai-rp659-triliun</t>
        </is>
      </c>
      <c r="J6" s="2" t="inlineStr">
        <is>
          <t>BI resmi (27/8/DKom) hanya menyebut pertumbuhan volume 175,2%</t>
        </is>
      </c>
    </row>
    <row r="7">
      <c r="A7" s="2" t="inlineStr">
        <is>
          <t>2025</t>
        </is>
      </c>
      <c r="B7" s="2" t="inlineStr">
        <is>
          <t>setahun</t>
        </is>
      </c>
      <c r="C7" s="2" t="n">
        <v>15.51</v>
      </c>
      <c r="D7" s="2" t="n">
        <v>1420.66</v>
      </c>
      <c r="E7" s="11">
        <f>IF(C7&gt;0,D7/C7,"")</f>
        <v/>
      </c>
      <c r="F7" s="5" t="inlineStr">
        <is>
          <t>PEJABAT BI</t>
        </is>
      </c>
      <c r="G7" s="2" t="inlineStr"/>
      <c r="H7" s="2" t="inlineStr">
        <is>
          <t>Deputi Gubernur BI via Kontan (Mar 2026)</t>
        </is>
      </c>
      <c r="I7" s="10" t="inlineStr">
        <is>
          <t>https://keuangan.kontan.co.id/news/bi-mencatat-nilai-transaksi-qris-capai-rp-16448-triliun-pada-januari-2026</t>
        </is>
      </c>
      <c r="J7" s="2" t="inlineStr">
        <is>
          <t>Volume +148,54% yoy</t>
        </is>
      </c>
    </row>
    <row r="8">
      <c r="A8" s="2" t="inlineStr">
        <is>
          <t>2025-H1</t>
        </is>
      </c>
      <c r="B8" s="2" t="inlineStr">
        <is>
          <t>Jan-Jun</t>
        </is>
      </c>
      <c r="C8" s="2" t="n">
        <v>6.05</v>
      </c>
      <c r="D8" s="2" t="n">
        <v>579</v>
      </c>
      <c r="E8" s="11">
        <f>IF(C8&gt;0,D8/C8,"")</f>
        <v/>
      </c>
      <c r="F8" s="4" t="inlineStr">
        <is>
          <t>RESMI BI</t>
        </is>
      </c>
      <c r="G8" s="2" t="inlineStr">
        <is>
          <t>27/170/DKom</t>
        </is>
      </c>
      <c r="H8" s="2" t="inlineStr">
        <is>
          <t>Siaran Pers BI 04/08/2025</t>
        </is>
      </c>
      <c r="I8" s="10" t="inlineStr">
        <is>
          <t>https://www.bi.go.id/id/publikasi/ruang-media/news-release/Pages/sp_2717025.aspx</t>
        </is>
      </c>
      <c r="J8" s="2" t="inlineStr"/>
    </row>
    <row r="9">
      <c r="A9" s="2" t="inlineStr">
        <is>
          <t>2026-H1</t>
        </is>
      </c>
      <c r="B9" s="2" t="inlineStr">
        <is>
          <t>Jan-Jun</t>
        </is>
      </c>
      <c r="C9" s="2" t="n">
        <v>12.55</v>
      </c>
      <c r="D9" s="2" t="n">
        <v>1120</v>
      </c>
      <c r="E9" s="11">
        <f>IF(C9&gt;0,D9/C9,"")</f>
        <v/>
      </c>
      <c r="F9" s="4" t="inlineStr">
        <is>
          <t>RESMI BI</t>
        </is>
      </c>
      <c r="G9" s="2" t="inlineStr">
        <is>
          <t>28/159/DKom</t>
        </is>
      </c>
      <c r="H9" s="2" t="inlineStr">
        <is>
          <t>Siaran Pers BI 17/08/2026</t>
        </is>
      </c>
      <c r="I9" s="10" t="inlineStr">
        <is>
          <t>https://www.bi.go.id/id/publikasi/ruang-media/news-release/Pages/sp_2815926.aspx</t>
        </is>
      </c>
      <c r="J9" s="2" t="inlineStr">
        <is>
          <t>Nilai Rp1,12 kuadriliun, +93,92% yoy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3" customWidth="1" min="4" max="4"/>
    <col width="14" customWidth="1" min="5" max="5"/>
    <col width="60" customWidth="1" min="6" max="6"/>
  </cols>
  <sheetData>
    <row r="1">
      <c r="A1" s="8" t="inlineStr">
        <is>
          <t>Periode</t>
        </is>
      </c>
      <c r="B1" s="8" t="inlineStr">
        <is>
          <t>Pertumbuhan transaksi QRIS (% yoy)</t>
        </is>
      </c>
      <c r="C1" s="8" t="inlineStr">
        <is>
          <t>Basis</t>
        </is>
      </c>
      <c r="D1" s="8" t="inlineStr">
        <is>
          <t>Status sumber</t>
        </is>
      </c>
      <c r="E1" s="8" t="inlineStr">
        <is>
          <t>No. siaran pers</t>
        </is>
      </c>
      <c r="F1" s="8" t="inlineStr">
        <is>
          <t>URL</t>
        </is>
      </c>
    </row>
    <row r="2">
      <c r="A2" s="2" t="inlineStr">
        <is>
          <t>2023-07</t>
        </is>
      </c>
      <c r="B2" s="2" t="n">
        <v>84.5</v>
      </c>
      <c r="C2" s="2" t="inlineStr">
        <is>
          <t>nominal</t>
        </is>
      </c>
      <c r="D2" s="4" t="inlineStr">
        <is>
          <t>RESMI BI</t>
        </is>
      </c>
      <c r="E2" s="2" t="inlineStr">
        <is>
          <t>25/233/DKom</t>
        </is>
      </c>
      <c r="F2" s="10" t="inlineStr">
        <is>
          <t>https://www.bi.go.id/id/publikasi/ruang-media/news-release/Pages/sp_2523323.aspx</t>
        </is>
      </c>
    </row>
    <row r="3">
      <c r="A3" s="2" t="inlineStr">
        <is>
          <t>2023-08</t>
        </is>
      </c>
      <c r="B3" s="2" t="n">
        <v>89.64</v>
      </c>
      <c r="C3" s="2" t="inlineStr">
        <is>
          <t>nominal</t>
        </is>
      </c>
      <c r="D3" s="4" t="inlineStr">
        <is>
          <t>RESMI BI</t>
        </is>
      </c>
      <c r="E3" s="2" t="inlineStr">
        <is>
          <t>25/259/DKom</t>
        </is>
      </c>
      <c r="F3" s="10" t="inlineStr">
        <is>
          <t>https://www.bi.go.id/en/publikasi/ruang-media/news-release/Pages/sp_2525923.aspx</t>
        </is>
      </c>
    </row>
    <row r="4">
      <c r="A4" s="2" t="inlineStr">
        <is>
          <t>2023-Q3</t>
        </is>
      </c>
      <c r="B4" s="2" t="n">
        <v>87.90000000000001</v>
      </c>
      <c r="C4" s="2" t="inlineStr">
        <is>
          <t>nominal</t>
        </is>
      </c>
      <c r="D4" s="4" t="inlineStr">
        <is>
          <t>RESMI BI</t>
        </is>
      </c>
      <c r="E4" s="2" t="inlineStr">
        <is>
          <t>25/283/DKom</t>
        </is>
      </c>
      <c r="F4" s="10" t="inlineStr">
        <is>
          <t>https://www.bi.go.id/id/publikasi/ruang-media/news-release/Pages/sp_2528323.aspx</t>
        </is>
      </c>
    </row>
    <row r="5">
      <c r="A5" s="2" t="inlineStr">
        <is>
          <t>2023-10</t>
        </is>
      </c>
      <c r="B5" s="2" t="n">
        <v>186.08</v>
      </c>
      <c r="C5" s="2" t="inlineStr">
        <is>
          <t>nominal</t>
        </is>
      </c>
      <c r="D5" s="4" t="inlineStr">
        <is>
          <t>RESMI BI</t>
        </is>
      </c>
      <c r="E5" s="2" t="inlineStr">
        <is>
          <t>25/317/DKom</t>
        </is>
      </c>
      <c r="F5" s="10" t="inlineStr">
        <is>
          <t>https://www.bi.go.id/en/publikasi/ruang-media/news-release/Pages/sp_2531723.aspx</t>
        </is>
      </c>
    </row>
    <row r="6">
      <c r="A6" s="2" t="inlineStr">
        <is>
          <t>2023-11</t>
        </is>
      </c>
      <c r="B6" s="2" t="n">
        <v>157.43</v>
      </c>
      <c r="C6" s="2" t="inlineStr">
        <is>
          <t>nominal</t>
        </is>
      </c>
      <c r="D6" s="4" t="inlineStr">
        <is>
          <t>RESMI BI</t>
        </is>
      </c>
      <c r="E6" s="2" t="inlineStr">
        <is>
          <t>25/342/DKom</t>
        </is>
      </c>
      <c r="F6" s="10" t="inlineStr">
        <is>
          <t>https://www.bi.go.id/id/publikasi/ruang-media/news-release/Pages/sp_2534223.aspx</t>
        </is>
      </c>
    </row>
    <row r="7">
      <c r="A7" s="2" t="inlineStr">
        <is>
          <t>2023</t>
        </is>
      </c>
      <c r="B7" s="2" t="n">
        <v>130.01</v>
      </c>
      <c r="C7" s="2" t="inlineStr">
        <is>
          <t>nominal</t>
        </is>
      </c>
      <c r="D7" s="4" t="inlineStr">
        <is>
          <t>RESMI BI</t>
        </is>
      </c>
      <c r="E7" s="2" t="inlineStr">
        <is>
          <t>26/9/DKom</t>
        </is>
      </c>
      <c r="F7" s="10" t="inlineStr">
        <is>
          <t>https://www.bi.go.id/id/publikasi/ruang-media/news-release/Pages/sp_260924.aspx</t>
        </is>
      </c>
    </row>
    <row r="8">
      <c r="A8" s="2" t="inlineStr">
        <is>
          <t>2024-01</t>
        </is>
      </c>
      <c r="B8" s="2" t="n">
        <v>149.46</v>
      </c>
      <c r="C8" s="2" t="inlineStr">
        <is>
          <t>nominal</t>
        </is>
      </c>
      <c r="D8" s="4" t="inlineStr">
        <is>
          <t>RESMI BI</t>
        </is>
      </c>
      <c r="E8" s="2" t="inlineStr">
        <is>
          <t>26/33/DKom</t>
        </is>
      </c>
      <c r="F8" s="10" t="inlineStr">
        <is>
          <t>https://www.bi.go.id/id/publikasi/ruang-media/news-release/Pages/sp_263324.aspx</t>
        </is>
      </c>
    </row>
    <row r="9">
      <c r="A9" s="2" t="inlineStr">
        <is>
          <t>2024-02</t>
        </is>
      </c>
      <c r="B9" s="2" t="n">
        <v>161.51</v>
      </c>
      <c r="C9" s="2" t="inlineStr">
        <is>
          <t>nominal</t>
        </is>
      </c>
      <c r="D9" s="4" t="inlineStr">
        <is>
          <t>RESMI BI</t>
        </is>
      </c>
      <c r="E9" s="2" t="inlineStr">
        <is>
          <t>26/54/DKom</t>
        </is>
      </c>
      <c r="F9" s="10" t="inlineStr">
        <is>
          <t>https://www.bi.go.id/id/publikasi/ruang-media/news-release/Pages/sp_265424.aspx</t>
        </is>
      </c>
    </row>
    <row r="10">
      <c r="A10" s="2" t="inlineStr">
        <is>
          <t>2024-Q1</t>
        </is>
      </c>
      <c r="B10" s="2" t="n">
        <v>175.44</v>
      </c>
      <c r="C10" s="2" t="inlineStr">
        <is>
          <t>nominal</t>
        </is>
      </c>
      <c r="D10" s="4" t="inlineStr">
        <is>
          <t>RESMI BI</t>
        </is>
      </c>
      <c r="E10" s="2" t="inlineStr">
        <is>
          <t>26/80/DKom</t>
        </is>
      </c>
      <c r="F10" s="10" t="inlineStr">
        <is>
          <t>https://www.bi.go.id/id/publikasi/ruang-media/news-release/Pages/sp_268024.aspx</t>
        </is>
      </c>
    </row>
    <row r="11">
      <c r="A11" s="2" t="inlineStr">
        <is>
          <t>2024-04</t>
        </is>
      </c>
      <c r="B11" s="2" t="n">
        <v>194.06</v>
      </c>
      <c r="C11" s="2" t="inlineStr">
        <is>
          <t>nominal</t>
        </is>
      </c>
      <c r="D11" s="4" t="inlineStr">
        <is>
          <t>RESMI BI</t>
        </is>
      </c>
      <c r="E11" s="2" t="inlineStr">
        <is>
          <t>26/108/DKom</t>
        </is>
      </c>
      <c r="F11" s="10" t="inlineStr">
        <is>
          <t>https://www.bi.go.id/id/publikasi/ruang-media/news-release/Pages/sp_2610824.aspx</t>
        </is>
      </c>
    </row>
    <row r="12">
      <c r="A12" s="2" t="inlineStr">
        <is>
          <t>2024-05</t>
        </is>
      </c>
      <c r="B12" s="2" t="n">
        <v>213.31</v>
      </c>
      <c r="C12" s="2" t="inlineStr">
        <is>
          <t>nominal</t>
        </is>
      </c>
      <c r="D12" s="4" t="inlineStr">
        <is>
          <t>RESMI BI</t>
        </is>
      </c>
      <c r="E12" s="2" t="inlineStr">
        <is>
          <t>26/125/DKom</t>
        </is>
      </c>
      <c r="F12" s="10" t="inlineStr">
        <is>
          <t>https://www.bi.go.id/en/publikasi/ruang-media/news-release/Pages/sp_2612524.aspx</t>
        </is>
      </c>
    </row>
    <row r="13">
      <c r="A13" s="2" t="inlineStr">
        <is>
          <t>2024-Q2</t>
        </is>
      </c>
      <c r="B13" s="2" t="n">
        <v>226.54</v>
      </c>
      <c r="C13" s="2" t="inlineStr">
        <is>
          <t>tidak disebut</t>
        </is>
      </c>
      <c r="D13" s="4" t="inlineStr">
        <is>
          <t>RESMI BI</t>
        </is>
      </c>
      <c r="E13" s="2" t="inlineStr">
        <is>
          <t>26/144/DKom</t>
        </is>
      </c>
      <c r="F13" s="10" t="inlineStr">
        <is>
          <t>https://www.bi.go.id/en/publikasi/ruang-media/news-release/Pages/sp_2614424.aspx</t>
        </is>
      </c>
    </row>
    <row r="14">
      <c r="A14" s="2" t="inlineStr">
        <is>
          <t>2024-08</t>
        </is>
      </c>
      <c r="B14" s="2" t="n">
        <v>217.33</v>
      </c>
      <c r="C14" s="2" t="inlineStr">
        <is>
          <t>tidak disebut</t>
        </is>
      </c>
      <c r="D14" s="4" t="inlineStr">
        <is>
          <t>RESMI BI</t>
        </is>
      </c>
      <c r="E14" s="2" t="inlineStr">
        <is>
          <t>26/201/DKom</t>
        </is>
      </c>
      <c r="F14" s="10" t="inlineStr">
        <is>
          <t>https://www.bi.go.id/id/publikasi/ruang-media/news-release/Pages/sp_2620124.aspx</t>
        </is>
      </c>
    </row>
    <row r="15">
      <c r="A15" s="2" t="inlineStr">
        <is>
          <t>2024-Q3</t>
        </is>
      </c>
      <c r="B15" s="2" t="n">
        <v>209.61</v>
      </c>
      <c r="C15" s="2" t="inlineStr">
        <is>
          <t>tidak disebut</t>
        </is>
      </c>
      <c r="D15" s="4" t="inlineStr">
        <is>
          <t>RESMI BI</t>
        </is>
      </c>
      <c r="E15" s="2" t="inlineStr">
        <is>
          <t>26/225/DKom</t>
        </is>
      </c>
      <c r="F15" s="10" t="inlineStr">
        <is>
          <t>https://www.bi.go.id/id/publikasi/ruang-media/news-release/Pages/sp_2622524.aspx</t>
        </is>
      </c>
    </row>
    <row r="16">
      <c r="A16" s="2" t="inlineStr">
        <is>
          <t>2024-10</t>
        </is>
      </c>
      <c r="B16" s="2" t="n">
        <v>183.9</v>
      </c>
      <c r="C16" s="2" t="inlineStr">
        <is>
          <t>tidak disebut</t>
        </is>
      </c>
      <c r="D16" s="4" t="inlineStr">
        <is>
          <t>RESMI BI</t>
        </is>
      </c>
      <c r="E16" s="2" t="inlineStr">
        <is>
          <t>26/254/DKom</t>
        </is>
      </c>
      <c r="F16" s="10" t="inlineStr">
        <is>
          <t>https://www.bi.go.id/id/publikasi/ruang-media/news-release/Pages/sp_2625424.aspx</t>
        </is>
      </c>
    </row>
    <row r="17">
      <c r="A17" s="2" t="inlineStr">
        <is>
          <t>2024-11</t>
        </is>
      </c>
      <c r="B17" s="2" t="n">
        <v>186</v>
      </c>
      <c r="C17" s="2" t="inlineStr">
        <is>
          <t>volume</t>
        </is>
      </c>
      <c r="D17" s="4" t="inlineStr">
        <is>
          <t>RESMI BI</t>
        </is>
      </c>
      <c r="E17" s="2" t="inlineStr">
        <is>
          <t>26/275/DKom</t>
        </is>
      </c>
      <c r="F17" s="10" t="inlineStr">
        <is>
          <t>https://www.bi.go.id/en/publikasi/ruang-media/news-release/Pages/sp_2627524.aspx</t>
        </is>
      </c>
    </row>
    <row r="18">
      <c r="A18" s="2" t="inlineStr">
        <is>
          <t>2024</t>
        </is>
      </c>
      <c r="B18" s="2" t="n">
        <v>175.2</v>
      </c>
      <c r="C18" s="2" t="inlineStr">
        <is>
          <t>volume</t>
        </is>
      </c>
      <c r="D18" s="4" t="inlineStr">
        <is>
          <t>RESMI BI</t>
        </is>
      </c>
      <c r="E18" s="2" t="inlineStr">
        <is>
          <t>27/8/DKom</t>
        </is>
      </c>
      <c r="F18" s="10" t="inlineStr">
        <is>
          <t>https://www.bi.go.id/id/publikasi/ruang-media/news-release/Pages/sp_270825.aspx</t>
        </is>
      </c>
    </row>
    <row r="19">
      <c r="A19" s="2" t="inlineStr">
        <is>
          <t>2025-Q1</t>
        </is>
      </c>
      <c r="B19" s="2" t="n">
        <v>169.15</v>
      </c>
      <c r="C19" s="2" t="inlineStr">
        <is>
          <t>volume</t>
        </is>
      </c>
      <c r="D19" s="4" t="inlineStr">
        <is>
          <t>RESMI BI</t>
        </is>
      </c>
      <c r="E19" s="2" t="inlineStr">
        <is>
          <t>27/84/DKom</t>
        </is>
      </c>
      <c r="F19" s="10" t="inlineStr">
        <is>
          <t>https://www.bi.go.id/id/publikasi/ruang-media/news-release/Pages/sp_278425.aspx</t>
        </is>
      </c>
    </row>
    <row r="20">
      <c r="A20" s="2" t="inlineStr">
        <is>
          <t>2025-05</t>
        </is>
      </c>
      <c r="B20" s="2" t="n">
        <v>151.7</v>
      </c>
      <c r="C20" s="2" t="inlineStr">
        <is>
          <t>volume</t>
        </is>
      </c>
      <c r="D20" s="4" t="inlineStr">
        <is>
          <t>RESMI BI</t>
        </is>
      </c>
      <c r="E20" s="2" t="inlineStr">
        <is>
          <t>27/133/DKom</t>
        </is>
      </c>
      <c r="F20" s="10" t="inlineStr">
        <is>
          <t>https://www.bi.go.id/id/publikasi/ruang-media/news-release/Pages/sp_2713325.aspx</t>
        </is>
      </c>
    </row>
    <row r="21">
      <c r="A21" s="2" t="inlineStr">
        <is>
          <t>2025-07</t>
        </is>
      </c>
      <c r="B21" s="2" t="n">
        <v>162.77</v>
      </c>
      <c r="C21" s="2" t="inlineStr">
        <is>
          <t>volume</t>
        </is>
      </c>
      <c r="D21" s="4" t="inlineStr">
        <is>
          <t>RESMI BI</t>
        </is>
      </c>
      <c r="E21" s="2" t="inlineStr">
        <is>
          <t>27/194/DKom</t>
        </is>
      </c>
      <c r="F21" s="10" t="inlineStr">
        <is>
          <t>https://www.bi.go.id/id/publikasi/ruang-media/news-release/Pages/sp_2719425.aspx</t>
        </is>
      </c>
    </row>
    <row r="22">
      <c r="A22" s="2" t="inlineStr">
        <is>
          <t>2025-08</t>
        </is>
      </c>
      <c r="B22" s="2" t="n">
        <v>145.07</v>
      </c>
      <c r="C22" s="2" t="inlineStr">
        <is>
          <t>volume</t>
        </is>
      </c>
      <c r="D22" s="4" t="inlineStr">
        <is>
          <t>RESMI BI</t>
        </is>
      </c>
      <c r="E22" s="2" t="inlineStr">
        <is>
          <t>27/219/DKom</t>
        </is>
      </c>
      <c r="F22" s="10" t="inlineStr">
        <is>
          <t>https://www.bi.go.id/id/publikasi/ruang-media/news-release/Pages/sp_2721925.aspx</t>
        </is>
      </c>
    </row>
    <row r="23">
      <c r="A23" s="2" t="inlineStr">
        <is>
          <t>2025-10</t>
        </is>
      </c>
      <c r="B23" s="2" t="n">
        <v>139.45</v>
      </c>
      <c r="C23" s="2" t="inlineStr">
        <is>
          <t>tidak disebut</t>
        </is>
      </c>
      <c r="D23" s="4" t="inlineStr">
        <is>
          <t>RESMI BI</t>
        </is>
      </c>
      <c r="E23" s="2" t="inlineStr">
        <is>
          <t>27/274/DKom</t>
        </is>
      </c>
      <c r="F23" s="10" t="inlineStr">
        <is>
          <t>https://www.bi.go.id/id/publikasi/ruang-media/news-release/Pages/sp_2727425.aspx</t>
        </is>
      </c>
    </row>
    <row r="24">
      <c r="A24" s="2" t="inlineStr">
        <is>
          <t>2026-05</t>
        </is>
      </c>
      <c r="B24" s="2" t="n">
        <v>95.09999999999999</v>
      </c>
      <c r="C24" s="2" t="inlineStr">
        <is>
          <t>volume</t>
        </is>
      </c>
      <c r="D24" s="4" t="inlineStr">
        <is>
          <t>RESMI BI</t>
        </is>
      </c>
      <c r="E24" s="2" t="inlineStr">
        <is>
          <t>28/126/DKom</t>
        </is>
      </c>
      <c r="F24" s="10" t="inlineStr">
        <is>
          <t>https://www.bi.go.id/id/publikasi/ruang-media/news-release/Pages/sp_2812626.aspx</t>
        </is>
      </c>
    </row>
    <row r="25">
      <c r="A25" s="2" t="inlineStr">
        <is>
          <t>2026-Q2</t>
        </is>
      </c>
      <c r="B25" s="2" t="n">
        <v>100.12</v>
      </c>
      <c r="C25" s="2" t="inlineStr">
        <is>
          <t>tidak disebut</t>
        </is>
      </c>
      <c r="D25" s="4" t="inlineStr">
        <is>
          <t>RESMI BI</t>
        </is>
      </c>
      <c r="E25" s="2" t="inlineStr">
        <is>
          <t>28/142/DKom</t>
        </is>
      </c>
      <c r="F25" s="10" t="inlineStr">
        <is>
          <t>https://www.bi.go.id/en/publikasi/ruang-media/news-release/Pages/sp_2814226.aspx</t>
        </is>
      </c>
    </row>
    <row r="26">
      <c r="A26" s="2" t="inlineStr">
        <is>
          <t>2026-08</t>
        </is>
      </c>
      <c r="B26" s="2" t="n">
        <v>67.22</v>
      </c>
      <c r="C26" s="2" t="inlineStr">
        <is>
          <t>volume</t>
        </is>
      </c>
      <c r="D26" s="4" t="inlineStr">
        <is>
          <t>RESMI BI</t>
        </is>
      </c>
      <c r="E26" s="2" t="inlineStr">
        <is>
          <t>28/193/DKom</t>
        </is>
      </c>
      <c r="F26" s="10" t="inlineStr">
        <is>
          <t>https://www.bi.go.id/id/publikasi/ruang-media/news-release/Pages/sp_2819326.aspx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11" customWidth="1" min="5" max="5"/>
    <col width="13" customWidth="1" min="6" max="6"/>
    <col width="14" customWidth="1" min="7" max="7"/>
    <col width="32" customWidth="1" min="8" max="8"/>
    <col width="60" customWidth="1" min="9" max="9"/>
  </cols>
  <sheetData>
    <row r="1">
      <c r="A1" s="8" t="inlineStr">
        <is>
          <t>Koridor</t>
        </is>
      </c>
      <c r="B1" s="8" t="inlineStr">
        <is>
          <t>Mulai</t>
        </is>
      </c>
      <c r="C1" s="8" t="inlineStr">
        <is>
          <t>Transaksi kumulatif</t>
        </is>
      </c>
      <c r="D1" s="8" t="inlineStr">
        <is>
          <t>Nilai kumulatif (Rp miliar)</t>
        </is>
      </c>
      <c r="E1" s="8" t="inlineStr">
        <is>
          <t>Posisi data</t>
        </is>
      </c>
      <c r="F1" s="8" t="inlineStr">
        <is>
          <t>Status sumber</t>
        </is>
      </c>
      <c r="G1" s="8" t="inlineStr">
        <is>
          <t>No. siaran pers</t>
        </is>
      </c>
      <c r="H1" s="8" t="inlineStr">
        <is>
          <t>Sumber</t>
        </is>
      </c>
      <c r="I1" s="8" t="inlineStr">
        <is>
          <t>URL</t>
        </is>
      </c>
    </row>
    <row r="2">
      <c r="A2" s="2" t="inlineStr">
        <is>
          <t>Thailand</t>
        </is>
      </c>
      <c r="B2" s="2" t="inlineStr">
        <is>
          <t>2022-08</t>
        </is>
      </c>
      <c r="C2" s="2" t="n">
        <v>994890</v>
      </c>
      <c r="D2" s="2" t="n">
        <v>437.54</v>
      </c>
      <c r="E2" s="2" t="inlineStr">
        <is>
          <t>2025-06</t>
        </is>
      </c>
      <c r="F2" s="4" t="inlineStr">
        <is>
          <t>RESMI BI</t>
        </is>
      </c>
      <c r="G2" s="2" t="inlineStr">
        <is>
          <t>27/193/DKom</t>
        </is>
      </c>
      <c r="H2" s="2" t="inlineStr">
        <is>
          <t>Siaran Pers QRIS di Jepang</t>
        </is>
      </c>
      <c r="I2" s="10" t="inlineStr">
        <is>
          <t>https://www.bi.go.id/id/publikasi/ruang-media/news-release/Pages/sp_2719325.aspx</t>
        </is>
      </c>
    </row>
    <row r="3">
      <c r="A3" s="2" t="inlineStr">
        <is>
          <t>Malaysia</t>
        </is>
      </c>
      <c r="B3" s="2" t="inlineStr">
        <is>
          <t>2023-05</t>
        </is>
      </c>
      <c r="C3" s="2" t="n">
        <v>4310000</v>
      </c>
      <c r="D3" s="2" t="n">
        <v>1150</v>
      </c>
      <c r="E3" s="2" t="inlineStr">
        <is>
          <t>2025-06</t>
        </is>
      </c>
      <c r="F3" s="4" t="inlineStr">
        <is>
          <t>RESMI BI</t>
        </is>
      </c>
      <c r="G3" s="2" t="inlineStr">
        <is>
          <t>27/193/DKom</t>
        </is>
      </c>
      <c r="H3" s="2" t="inlineStr">
        <is>
          <t>Siaran Pers QRIS di Jepang</t>
        </is>
      </c>
      <c r="I3" s="10" t="inlineStr">
        <is>
          <t>https://www.bi.go.id/id/publikasi/ruang-media/news-release/Pages/sp_2719325.aspx</t>
        </is>
      </c>
    </row>
    <row r="4">
      <c r="A4" s="2" t="inlineStr">
        <is>
          <t>Singapura</t>
        </is>
      </c>
      <c r="B4" s="2" t="inlineStr">
        <is>
          <t>2023-11</t>
        </is>
      </c>
      <c r="C4" s="2" t="n">
        <v>238216</v>
      </c>
      <c r="D4" s="2" t="n">
        <v>77.06</v>
      </c>
      <c r="E4" s="2" t="inlineStr">
        <is>
          <t>2025-06</t>
        </is>
      </c>
      <c r="F4" s="4" t="inlineStr">
        <is>
          <t>RESMI BI</t>
        </is>
      </c>
      <c r="G4" s="2" t="inlineStr">
        <is>
          <t>27/193/DKom</t>
        </is>
      </c>
      <c r="H4" s="2" t="inlineStr">
        <is>
          <t>Siaran Pers QRIS di Jepang</t>
        </is>
      </c>
      <c r="I4" s="10" t="inlineStr">
        <is>
          <t>https://www.bi.go.id/id/publikasi/ruang-media/news-release/Pages/sp_2719325.aspx</t>
        </is>
      </c>
    </row>
    <row r="5">
      <c r="A5" s="2" t="inlineStr">
        <is>
          <t>Thailand</t>
        </is>
      </c>
      <c r="B5" s="2" t="inlineStr">
        <is>
          <t>2022-08</t>
        </is>
      </c>
      <c r="C5" s="2" t="n">
        <v>1640000</v>
      </c>
      <c r="D5" s="2" t="n">
        <v>656.27</v>
      </c>
      <c r="E5" s="2" t="inlineStr">
        <is>
          <t>2026-02</t>
        </is>
      </c>
      <c r="F5" s="5" t="inlineStr">
        <is>
          <t>PEJABAT BI</t>
        </is>
      </c>
      <c r="G5" s="2" t="inlineStr"/>
      <c r="H5" s="2" t="inlineStr">
        <is>
          <t>BI via Kontan 08/04/2026</t>
        </is>
      </c>
      <c r="I5" s="10" t="inlineStr">
        <is>
          <t>https://keuangan.kontan.co.id/news/qris-cross-border-kian-diminati-transaksi-tumbuh-pesat</t>
        </is>
      </c>
    </row>
    <row r="6">
      <c r="A6" s="2" t="inlineStr">
        <is>
          <t>Singapura</t>
        </is>
      </c>
      <c r="B6" s="2" t="inlineStr">
        <is>
          <t>2023-11</t>
        </is>
      </c>
      <c r="C6" s="2" t="n">
        <v>554510</v>
      </c>
      <c r="D6" s="2" t="n">
        <v>179.28</v>
      </c>
      <c r="E6" s="2" t="inlineStr">
        <is>
          <t>2026-02</t>
        </is>
      </c>
      <c r="F6" s="5" t="inlineStr">
        <is>
          <t>PEJABAT BI</t>
        </is>
      </c>
      <c r="G6" s="2" t="inlineStr"/>
      <c r="H6" s="2" t="inlineStr">
        <is>
          <t>BI via Kontan 08/04/2026</t>
        </is>
      </c>
      <c r="I6" s="10" t="inlineStr">
        <is>
          <t>https://keuangan.kontan.co.id/news/qris-cross-border-kian-diminati-transaksi-tumbuh-pesat</t>
        </is>
      </c>
    </row>
    <row r="7">
      <c r="A7" s="2" t="inlineStr">
        <is>
          <t>Jepang (outbound)</t>
        </is>
      </c>
      <c r="B7" s="2" t="inlineStr">
        <is>
          <t>2025-08</t>
        </is>
      </c>
      <c r="C7" s="2" t="n">
        <v>5088</v>
      </c>
      <c r="D7" s="2" t="n">
        <v>0.4288</v>
      </c>
      <c r="E7" s="2" t="inlineStr">
        <is>
          <t>2026-02</t>
        </is>
      </c>
      <c r="F7" s="5" t="inlineStr">
        <is>
          <t>PEJABAT BI</t>
        </is>
      </c>
      <c r="G7" s="2" t="inlineStr"/>
      <c r="H7" s="2" t="inlineStr">
        <is>
          <t>BI via Kontan 08/04/2026</t>
        </is>
      </c>
      <c r="I7" s="10" t="inlineStr">
        <is>
          <t>https://keuangan.kontan.co.id/news/qris-cross-border-kian-diminati-transaksi-tumbuh-pesat</t>
        </is>
      </c>
    </row>
    <row r="8">
      <c r="A8" s="2" t="inlineStr">
        <is>
          <t>Total inbound</t>
        </is>
      </c>
      <c r="B8" s="2" t="inlineStr">
        <is>
          <t>2022-08</t>
        </is>
      </c>
      <c r="C8" s="2" t="n">
        <v>21000000</v>
      </c>
      <c r="D8" s="2" t="n">
        <v>5900</v>
      </c>
      <c r="E8" s="2" t="inlineStr">
        <is>
          <t>2026-07</t>
        </is>
      </c>
      <c r="F8" s="4" t="inlineStr">
        <is>
          <t>RESMI BI</t>
        </is>
      </c>
      <c r="G8" s="2" t="inlineStr">
        <is>
          <t>28/191/DKom</t>
        </is>
      </c>
      <c r="H8" s="2" t="inlineStr">
        <is>
          <t>Siaran Pers QRIS Antarnegara</t>
        </is>
      </c>
      <c r="I8" s="10" t="inlineStr">
        <is>
          <t>https://www.bi.go.id/id/publikasi/ruang-media/news-release/Pages/sp_2819126.aspx</t>
        </is>
      </c>
    </row>
    <row r="9">
      <c r="A9" s="2" t="inlineStr">
        <is>
          <t>Total outbound</t>
        </is>
      </c>
      <c r="B9" s="2" t="inlineStr">
        <is>
          <t>2022-08</t>
        </is>
      </c>
      <c r="C9" s="2" t="n">
        <v>4670000</v>
      </c>
      <c r="D9" s="2" t="n">
        <v>1730</v>
      </c>
      <c r="E9" s="2" t="inlineStr">
        <is>
          <t>2026-07</t>
        </is>
      </c>
      <c r="F9" s="4" t="inlineStr">
        <is>
          <t>RESMI BI</t>
        </is>
      </c>
      <c r="G9" s="2" t="inlineStr">
        <is>
          <t>28/191/DKom</t>
        </is>
      </c>
      <c r="H9" s="2" t="inlineStr">
        <is>
          <t>Siaran Pers QRIS Antarnegara</t>
        </is>
      </c>
      <c r="I9" s="10" t="inlineStr">
        <is>
          <t>https://www.bi.go.id/id/publikasi/ruang-media/news-release/Pages/sp_2819126.aspx</t>
        </is>
      </c>
    </row>
    <row r="10">
      <c r="A10" s="12" t="inlineStr">
        <is>
          <t>Total antarnegara (inbound + outbound, s.d. Jul 2026)</t>
        </is>
      </c>
      <c r="B10" s="12" t="n"/>
      <c r="C10" s="12">
        <f>C8+C9</f>
        <v/>
      </c>
      <c r="D10" s="12">
        <f>D8+D9</f>
        <v/>
      </c>
      <c r="E10" s="12" t="n"/>
      <c r="F10" s="12" t="n"/>
      <c r="G10" s="12" t="n"/>
      <c r="H10" s="12" t="n"/>
      <c r="I10" s="12" t="n"/>
    </row>
    <row r="11">
      <c r="A11" s="12" t="inlineStr">
        <is>
          <t>Porsi inbound (transaksi)</t>
        </is>
      </c>
      <c r="B11" s="12" t="n"/>
      <c r="C11" s="13">
        <f>C8/(C8+C9)</f>
        <v/>
      </c>
      <c r="D11" s="12" t="n"/>
      <c r="E11" s="12" t="n"/>
      <c r="F11" s="12" t="n"/>
      <c r="G11" s="12" t="n"/>
      <c r="H11" s="12" t="n"/>
      <c r="I11" s="12" t="n"/>
    </row>
    <row r="12">
      <c r="A12" s="12" t="inlineStr">
        <is>
          <t>Surplus nilai inbound - outbound (Rp miliar)</t>
        </is>
      </c>
      <c r="B12" s="12" t="n"/>
      <c r="C12" s="12" t="n"/>
      <c r="D12" s="12">
        <f>D8-D9</f>
        <v/>
      </c>
      <c r="E12" s="12" t="n"/>
      <c r="F12" s="12" t="n"/>
      <c r="G12" s="12" t="n"/>
      <c r="H12" s="12" t="n"/>
      <c r="I12" s="12" t="n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2026-10-13T05:26:08Z</dcterms:created>
  <dcterms:modified xmlns:dcterms="http://purl.org/dc/terms/" xmlns:xsi="http://www.w3.org/2001/XMLSchema-instance" xsi:type="dcterms:W3CDTF">2026-10-13T05:26:08Z</dcterms:modified>
</cp:coreProperties>
</file>